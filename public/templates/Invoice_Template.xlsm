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f21b10ae54cf1ff/Desktop/"/>
    </mc:Choice>
  </mc:AlternateContent>
  <xr:revisionPtr revIDLastSave="24" documentId="13_ncr:1_{942C1329-6CFB-46D1-8C74-7847857B20EE}" xr6:coauthVersionLast="47" xr6:coauthVersionMax="47" xr10:uidLastSave="{35C98299-ABCC-42EC-84C4-B4363F05EC74}"/>
  <bookViews>
    <workbookView xWindow="-120" yWindow="-120" windowWidth="29040" windowHeight="15720" xr2:uid="{00000000-000D-0000-FFFF-FFFF00000000}"/>
  </bookViews>
  <sheets>
    <sheet name="Quote Letter " sheetId="112" r:id="rId1"/>
    <sheet name="BUILDING WORKS" sheetId="134" r:id="rId2"/>
    <sheet name="Preliminaries" sheetId="11" r:id="rId3"/>
  </sheets>
  <definedNames>
    <definedName name="_xlnm._FilterDatabase" localSheetId="2" hidden="1">Preliminaries!$A$2:$E$45</definedName>
    <definedName name="_xlnm.Print_Area" localSheetId="1">'BUILDING WORKS'!$D$1:$AA$121</definedName>
    <definedName name="_xlnm.Print_Area" localSheetId="2">Preliminaries!$A$1:$L$51</definedName>
    <definedName name="_xlnm.Print_Area" localSheetId="0">'Quote Letter '!$B$1:$F$161</definedName>
    <definedName name="_xlnm.Print_Titles" localSheetId="1">'BUILDING WORKS'!$2:$8</definedName>
    <definedName name="_xlnm.Print_Titles" localSheetId="2">Preliminaries!$A:$D</definedName>
    <definedName name="_xlnm.Print_Titles" localSheetId="0">'Quote Letter '!$B:$C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12" l="1"/>
  <c r="O42" i="134"/>
  <c r="I42" i="134"/>
  <c r="H42" i="134"/>
  <c r="O41" i="134"/>
  <c r="H41" i="134" s="1"/>
  <c r="I41" i="134"/>
  <c r="O40" i="134"/>
  <c r="H40" i="134" s="1"/>
  <c r="L40" i="134" s="1"/>
  <c r="I40" i="134"/>
  <c r="O39" i="134"/>
  <c r="H39" i="134" s="1"/>
  <c r="I39" i="134"/>
  <c r="O38" i="134"/>
  <c r="H38" i="134" s="1"/>
  <c r="J38" i="134" s="1"/>
  <c r="K38" i="134" s="1"/>
  <c r="I38" i="134"/>
  <c r="O37" i="134"/>
  <c r="H37" i="134" s="1"/>
  <c r="I37" i="134"/>
  <c r="O36" i="134"/>
  <c r="H36" i="134" s="1"/>
  <c r="I36" i="134"/>
  <c r="O35" i="134"/>
  <c r="H35" i="134" s="1"/>
  <c r="I35" i="134"/>
  <c r="O34" i="134"/>
  <c r="H34" i="134" s="1"/>
  <c r="I34" i="134"/>
  <c r="O33" i="134"/>
  <c r="H33" i="134" s="1"/>
  <c r="I33" i="134"/>
  <c r="O32" i="134"/>
  <c r="I32" i="134"/>
  <c r="L32" i="134" s="1"/>
  <c r="H32" i="134"/>
  <c r="J32" i="134" s="1"/>
  <c r="K32" i="134" s="1"/>
  <c r="O31" i="134"/>
  <c r="I31" i="134"/>
  <c r="H31" i="134"/>
  <c r="O30" i="134"/>
  <c r="H30" i="134" s="1"/>
  <c r="I30" i="134"/>
  <c r="O29" i="134"/>
  <c r="H29" i="134" s="1"/>
  <c r="I29" i="134"/>
  <c r="O28" i="134"/>
  <c r="I28" i="134"/>
  <c r="H28" i="134"/>
  <c r="O27" i="134"/>
  <c r="I27" i="134"/>
  <c r="H27" i="134"/>
  <c r="B47" i="112"/>
  <c r="C47" i="112"/>
  <c r="D47" i="112"/>
  <c r="B48" i="112"/>
  <c r="C48" i="112"/>
  <c r="D48" i="112"/>
  <c r="B49" i="112"/>
  <c r="C49" i="112"/>
  <c r="D49" i="112"/>
  <c r="B50" i="112"/>
  <c r="C50" i="112"/>
  <c r="D50" i="112"/>
  <c r="B51" i="112"/>
  <c r="C51" i="112"/>
  <c r="D51" i="112"/>
  <c r="B52" i="112"/>
  <c r="C52" i="112"/>
  <c r="D52" i="112"/>
  <c r="B53" i="112"/>
  <c r="C53" i="112"/>
  <c r="D53" i="112"/>
  <c r="B54" i="112"/>
  <c r="C54" i="112"/>
  <c r="D54" i="112"/>
  <c r="B55" i="112"/>
  <c r="C55" i="112"/>
  <c r="D55" i="112"/>
  <c r="B56" i="112"/>
  <c r="C56" i="112"/>
  <c r="D56" i="112"/>
  <c r="B57" i="112"/>
  <c r="C57" i="112"/>
  <c r="D57" i="112"/>
  <c r="B58" i="112"/>
  <c r="C58" i="112"/>
  <c r="D58" i="112"/>
  <c r="B59" i="112"/>
  <c r="C59" i="112"/>
  <c r="D59" i="112"/>
  <c r="B60" i="112"/>
  <c r="C60" i="112"/>
  <c r="D60" i="112"/>
  <c r="B61" i="112"/>
  <c r="C61" i="112"/>
  <c r="D61" i="112"/>
  <c r="B62" i="112"/>
  <c r="C62" i="112"/>
  <c r="D62" i="112"/>
  <c r="B63" i="112"/>
  <c r="C63" i="112"/>
  <c r="D63" i="112"/>
  <c r="B64" i="112"/>
  <c r="C64" i="112"/>
  <c r="D64" i="112"/>
  <c r="B65" i="112"/>
  <c r="C65" i="112"/>
  <c r="D65" i="112"/>
  <c r="B66" i="112"/>
  <c r="C66" i="112"/>
  <c r="D66" i="112"/>
  <c r="B67" i="112"/>
  <c r="C67" i="112"/>
  <c r="D67" i="112"/>
  <c r="AH49" i="134"/>
  <c r="AJ49" i="134"/>
  <c r="AK49" i="134"/>
  <c r="AL49" i="134"/>
  <c r="AM49" i="134"/>
  <c r="AN49" i="134"/>
  <c r="AO49" i="134"/>
  <c r="AP49" i="134"/>
  <c r="AQ49" i="134"/>
  <c r="AR49" i="134"/>
  <c r="AS49" i="134"/>
  <c r="AT49" i="134"/>
  <c r="AU49" i="134"/>
  <c r="B46" i="112"/>
  <c r="C46" i="112"/>
  <c r="D46" i="112"/>
  <c r="B68" i="112"/>
  <c r="C68" i="112"/>
  <c r="D68" i="112"/>
  <c r="B69" i="112"/>
  <c r="C69" i="112"/>
  <c r="D69" i="112"/>
  <c r="B70" i="112"/>
  <c r="C70" i="112"/>
  <c r="D70" i="112"/>
  <c r="B71" i="112"/>
  <c r="C71" i="112"/>
  <c r="D71" i="112"/>
  <c r="B72" i="112"/>
  <c r="C72" i="112"/>
  <c r="D72" i="112"/>
  <c r="B73" i="112"/>
  <c r="C73" i="112"/>
  <c r="D73" i="112"/>
  <c r="B74" i="112"/>
  <c r="C74" i="112"/>
  <c r="D74" i="112"/>
  <c r="B75" i="112"/>
  <c r="C75" i="112"/>
  <c r="D75" i="112"/>
  <c r="B76" i="112"/>
  <c r="C76" i="112"/>
  <c r="D76" i="112"/>
  <c r="B77" i="112"/>
  <c r="C77" i="112"/>
  <c r="D77" i="112"/>
  <c r="B78" i="112"/>
  <c r="C78" i="112"/>
  <c r="D78" i="112"/>
  <c r="B79" i="112"/>
  <c r="C79" i="112"/>
  <c r="D79" i="112"/>
  <c r="B80" i="112"/>
  <c r="C80" i="112"/>
  <c r="D80" i="112"/>
  <c r="B81" i="112"/>
  <c r="C81" i="112"/>
  <c r="D81" i="112"/>
  <c r="B82" i="112"/>
  <c r="C82" i="112"/>
  <c r="D82" i="112"/>
  <c r="B83" i="112"/>
  <c r="C83" i="112"/>
  <c r="D83" i="112"/>
  <c r="B84" i="112"/>
  <c r="C84" i="112"/>
  <c r="D84" i="112"/>
  <c r="B85" i="112"/>
  <c r="C85" i="112"/>
  <c r="D85" i="112"/>
  <c r="B86" i="112"/>
  <c r="C86" i="112"/>
  <c r="D86" i="112"/>
  <c r="B87" i="112"/>
  <c r="C87" i="112"/>
  <c r="D87" i="112"/>
  <c r="B88" i="112"/>
  <c r="C88" i="112"/>
  <c r="D88" i="112"/>
  <c r="B89" i="112"/>
  <c r="C89" i="112"/>
  <c r="D89" i="112"/>
  <c r="B90" i="112"/>
  <c r="C90" i="112"/>
  <c r="D90" i="112"/>
  <c r="B91" i="112"/>
  <c r="C91" i="112"/>
  <c r="D91" i="112"/>
  <c r="B92" i="112"/>
  <c r="C92" i="112"/>
  <c r="D92" i="112"/>
  <c r="B93" i="112"/>
  <c r="C93" i="112"/>
  <c r="D93" i="112"/>
  <c r="B94" i="112"/>
  <c r="C94" i="112"/>
  <c r="D94" i="112"/>
  <c r="B95" i="112"/>
  <c r="C95" i="112"/>
  <c r="D95" i="112"/>
  <c r="B96" i="112"/>
  <c r="C96" i="112"/>
  <c r="D96" i="112"/>
  <c r="B97" i="112"/>
  <c r="C97" i="112"/>
  <c r="D97" i="112"/>
  <c r="B98" i="112"/>
  <c r="C98" i="112"/>
  <c r="D98" i="112"/>
  <c r="B99" i="112"/>
  <c r="C99" i="112"/>
  <c r="D99" i="112"/>
  <c r="B100" i="112"/>
  <c r="C100" i="112"/>
  <c r="D100" i="112"/>
  <c r="B101" i="112"/>
  <c r="C101" i="112"/>
  <c r="D101" i="112"/>
  <c r="B102" i="112"/>
  <c r="C102" i="112"/>
  <c r="D102" i="112"/>
  <c r="B103" i="112"/>
  <c r="C103" i="112"/>
  <c r="D103" i="112"/>
  <c r="B104" i="112"/>
  <c r="C104" i="112"/>
  <c r="D104" i="112"/>
  <c r="B105" i="112"/>
  <c r="C105" i="112"/>
  <c r="D105" i="112"/>
  <c r="B106" i="112"/>
  <c r="C106" i="112"/>
  <c r="D106" i="112"/>
  <c r="B107" i="112"/>
  <c r="C107" i="112"/>
  <c r="D107" i="112"/>
  <c r="B108" i="112"/>
  <c r="C108" i="112"/>
  <c r="D108" i="112"/>
  <c r="B109" i="112"/>
  <c r="C109" i="112"/>
  <c r="D109" i="112"/>
  <c r="B110" i="112"/>
  <c r="C110" i="112"/>
  <c r="D110" i="112"/>
  <c r="B111" i="112"/>
  <c r="C111" i="112"/>
  <c r="D111" i="112"/>
  <c r="B112" i="112"/>
  <c r="C112" i="112"/>
  <c r="D112" i="112"/>
  <c r="B113" i="112"/>
  <c r="C113" i="112"/>
  <c r="D113" i="112"/>
  <c r="B114" i="112"/>
  <c r="C114" i="112"/>
  <c r="D114" i="112"/>
  <c r="B115" i="112"/>
  <c r="C115" i="112"/>
  <c r="D115" i="112"/>
  <c r="B116" i="112"/>
  <c r="C116" i="112"/>
  <c r="D116" i="112"/>
  <c r="B117" i="112"/>
  <c r="C117" i="112"/>
  <c r="D117" i="112"/>
  <c r="B118" i="112"/>
  <c r="C118" i="112"/>
  <c r="D118" i="112"/>
  <c r="B119" i="112"/>
  <c r="C119" i="112"/>
  <c r="D119" i="112"/>
  <c r="B120" i="112"/>
  <c r="C120" i="112"/>
  <c r="D120" i="112"/>
  <c r="B121" i="112"/>
  <c r="C121" i="112"/>
  <c r="D121" i="112"/>
  <c r="AU46" i="134"/>
  <c r="AT46" i="134"/>
  <c r="AS46" i="134"/>
  <c r="AR46" i="134"/>
  <c r="AQ46" i="134"/>
  <c r="AP46" i="134"/>
  <c r="AO46" i="134"/>
  <c r="AN46" i="134"/>
  <c r="AM46" i="134"/>
  <c r="AL46" i="134"/>
  <c r="AK46" i="134"/>
  <c r="AJ46" i="134"/>
  <c r="AH46" i="134"/>
  <c r="O46" i="134"/>
  <c r="H46" i="134" s="1"/>
  <c r="I46" i="134"/>
  <c r="AU38" i="134"/>
  <c r="AT38" i="134"/>
  <c r="AS38" i="134"/>
  <c r="AR38" i="134"/>
  <c r="AQ38" i="134"/>
  <c r="AP38" i="134"/>
  <c r="AO38" i="134"/>
  <c r="AN38" i="134"/>
  <c r="AM38" i="134"/>
  <c r="AL38" i="134"/>
  <c r="AK38" i="134"/>
  <c r="AJ38" i="134"/>
  <c r="AU39" i="134"/>
  <c r="AT39" i="134"/>
  <c r="AS39" i="134"/>
  <c r="AR39" i="134"/>
  <c r="AQ39" i="134"/>
  <c r="AP39" i="134"/>
  <c r="AO39" i="134"/>
  <c r="AN39" i="134"/>
  <c r="AM39" i="134"/>
  <c r="AL39" i="134"/>
  <c r="AK39" i="134"/>
  <c r="AJ39" i="134"/>
  <c r="J31" i="134" l="1"/>
  <c r="K31" i="134" s="1"/>
  <c r="J42" i="134"/>
  <c r="K42" i="134" s="1"/>
  <c r="L42" i="134"/>
  <c r="M42" i="134" s="1"/>
  <c r="F60" i="112" s="1"/>
  <c r="L33" i="134"/>
  <c r="E51" i="112" s="1"/>
  <c r="J29" i="134"/>
  <c r="K29" i="134" s="1"/>
  <c r="L29" i="134"/>
  <c r="E47" i="112" s="1"/>
  <c r="L28" i="134"/>
  <c r="M28" i="134" s="1"/>
  <c r="L41" i="134"/>
  <c r="M41" i="134" s="1"/>
  <c r="F59" i="112" s="1"/>
  <c r="J41" i="134"/>
  <c r="K41" i="134" s="1"/>
  <c r="L35" i="134"/>
  <c r="M35" i="134" s="1"/>
  <c r="F53" i="112" s="1"/>
  <c r="J35" i="134"/>
  <c r="K35" i="134" s="1"/>
  <c r="J40" i="134"/>
  <c r="K40" i="134" s="1"/>
  <c r="E50" i="112"/>
  <c r="M32" i="134"/>
  <c r="E58" i="112"/>
  <c r="M40" i="134"/>
  <c r="F58" i="112" s="1"/>
  <c r="L39" i="134"/>
  <c r="J39" i="134"/>
  <c r="K39" i="134" s="1"/>
  <c r="J30" i="134"/>
  <c r="K30" i="134" s="1"/>
  <c r="L30" i="134"/>
  <c r="L34" i="134"/>
  <c r="J34" i="134"/>
  <c r="K34" i="134" s="1"/>
  <c r="L36" i="134"/>
  <c r="J36" i="134"/>
  <c r="K36" i="134" s="1"/>
  <c r="L37" i="134"/>
  <c r="J37" i="134"/>
  <c r="K37" i="134" s="1"/>
  <c r="L31" i="134"/>
  <c r="M31" i="134" s="1"/>
  <c r="L38" i="134"/>
  <c r="M29" i="134"/>
  <c r="F47" i="112" s="1"/>
  <c r="J27" i="134"/>
  <c r="K27" i="134" s="1"/>
  <c r="J28" i="134"/>
  <c r="K28" i="134" s="1"/>
  <c r="J33" i="134"/>
  <c r="K33" i="134" s="1"/>
  <c r="AI38" i="134" a="1"/>
  <c r="AI38" i="134" s="1"/>
  <c r="L46" i="134"/>
  <c r="E64" i="112" s="1"/>
  <c r="J46" i="134"/>
  <c r="K46" i="134" s="1"/>
  <c r="AI46" i="134" a="1"/>
  <c r="AI46" i="134" s="1"/>
  <c r="AI39" i="134" a="1"/>
  <c r="AI39" i="134" s="1"/>
  <c r="B45" i="112"/>
  <c r="C45" i="112"/>
  <c r="D45" i="112"/>
  <c r="O26" i="134"/>
  <c r="O43" i="134"/>
  <c r="O44" i="134"/>
  <c r="O45" i="134"/>
  <c r="O47" i="134"/>
  <c r="O48" i="134"/>
  <c r="O49" i="134"/>
  <c r="O50" i="134"/>
  <c r="H50" i="134" s="1"/>
  <c r="O51" i="134"/>
  <c r="H51" i="134" s="1"/>
  <c r="O52" i="134"/>
  <c r="H52" i="134" s="1"/>
  <c r="O53" i="134"/>
  <c r="O54" i="134"/>
  <c r="O55" i="134"/>
  <c r="H55" i="134" s="1"/>
  <c r="O56" i="134"/>
  <c r="H56" i="134" s="1"/>
  <c r="O57" i="134"/>
  <c r="H57" i="134" s="1"/>
  <c r="O58" i="134"/>
  <c r="O59" i="134"/>
  <c r="H59" i="134" s="1"/>
  <c r="O60" i="134"/>
  <c r="H60" i="134" s="1"/>
  <c r="O61" i="134"/>
  <c r="AI61" i="134" s="1"/>
  <c r="O62" i="134"/>
  <c r="O63" i="134"/>
  <c r="H63" i="134" s="1"/>
  <c r="O64" i="134"/>
  <c r="H64" i="134" s="1"/>
  <c r="O65" i="134"/>
  <c r="H65" i="134" s="1"/>
  <c r="O66" i="134"/>
  <c r="O67" i="134"/>
  <c r="H67" i="134" s="1"/>
  <c r="O68" i="134"/>
  <c r="AI68" i="134" s="1"/>
  <c r="O69" i="134"/>
  <c r="H69" i="134" s="1"/>
  <c r="O70" i="134"/>
  <c r="O71" i="134"/>
  <c r="H71" i="134" s="1"/>
  <c r="O72" i="134"/>
  <c r="O73" i="134"/>
  <c r="H73" i="134" s="1"/>
  <c r="O74" i="134"/>
  <c r="O75" i="134"/>
  <c r="H75" i="134" s="1"/>
  <c r="O76" i="134"/>
  <c r="H76" i="134" s="1"/>
  <c r="O77" i="134"/>
  <c r="AI77" i="134" s="1"/>
  <c r="O78" i="134"/>
  <c r="O79" i="134"/>
  <c r="H79" i="134" s="1"/>
  <c r="O80" i="134"/>
  <c r="H80" i="134" s="1"/>
  <c r="O81" i="134"/>
  <c r="H81" i="134" s="1"/>
  <c r="O82" i="134"/>
  <c r="O83" i="134"/>
  <c r="H83" i="134" s="1"/>
  <c r="O84" i="134"/>
  <c r="H84" i="134" s="1"/>
  <c r="O85" i="134"/>
  <c r="AI85" i="134" s="1"/>
  <c r="O86" i="134"/>
  <c r="O87" i="134"/>
  <c r="H87" i="134" s="1"/>
  <c r="O88" i="134"/>
  <c r="O89" i="134"/>
  <c r="H89" i="134" s="1"/>
  <c r="O90" i="134"/>
  <c r="O91" i="134"/>
  <c r="H91" i="134" s="1"/>
  <c r="O92" i="134"/>
  <c r="H92" i="134" s="1"/>
  <c r="O93" i="134"/>
  <c r="O94" i="134"/>
  <c r="O95" i="134"/>
  <c r="H95" i="134" s="1"/>
  <c r="O96" i="134"/>
  <c r="H96" i="134" s="1"/>
  <c r="O97" i="134"/>
  <c r="H97" i="134" s="1"/>
  <c r="O98" i="134"/>
  <c r="O99" i="134"/>
  <c r="O100" i="134"/>
  <c r="H100" i="134" s="1"/>
  <c r="O101" i="134"/>
  <c r="AI101" i="134" s="1"/>
  <c r="O102" i="134"/>
  <c r="O103" i="134"/>
  <c r="O104" i="134"/>
  <c r="O105" i="134"/>
  <c r="H105" i="134" s="1"/>
  <c r="O106" i="134"/>
  <c r="O107" i="134"/>
  <c r="H107" i="134" s="1"/>
  <c r="O108" i="134"/>
  <c r="O109" i="134"/>
  <c r="H109" i="134" s="1"/>
  <c r="O110" i="134"/>
  <c r="H110" i="134" s="1"/>
  <c r="O111" i="134"/>
  <c r="H111" i="134" s="1"/>
  <c r="O112" i="134"/>
  <c r="H112" i="134" s="1"/>
  <c r="O113" i="134"/>
  <c r="H113" i="134" s="1"/>
  <c r="I49" i="134"/>
  <c r="I50" i="134"/>
  <c r="AH50" i="134"/>
  <c r="AJ50" i="134"/>
  <c r="AK50" i="134"/>
  <c r="AL50" i="134"/>
  <c r="AM50" i="134"/>
  <c r="AN50" i="134"/>
  <c r="AO50" i="134"/>
  <c r="AP50" i="134"/>
  <c r="AQ50" i="134"/>
  <c r="AR50" i="134"/>
  <c r="AS50" i="134"/>
  <c r="AT50" i="134"/>
  <c r="AU50" i="134"/>
  <c r="I51" i="134"/>
  <c r="AH51" i="134"/>
  <c r="AJ51" i="134"/>
  <c r="AK51" i="134"/>
  <c r="AL51" i="134"/>
  <c r="AM51" i="134"/>
  <c r="AN51" i="134"/>
  <c r="AO51" i="134"/>
  <c r="AP51" i="134"/>
  <c r="AQ51" i="134"/>
  <c r="AR51" i="134"/>
  <c r="AS51" i="134"/>
  <c r="AT51" i="134"/>
  <c r="AU51" i="134"/>
  <c r="I52" i="134"/>
  <c r="AH52" i="134"/>
  <c r="AJ52" i="134"/>
  <c r="AK52" i="134"/>
  <c r="AL52" i="134"/>
  <c r="AM52" i="134"/>
  <c r="AN52" i="134"/>
  <c r="AO52" i="134"/>
  <c r="AP52" i="134"/>
  <c r="AQ52" i="134"/>
  <c r="AR52" i="134"/>
  <c r="AS52" i="134"/>
  <c r="AT52" i="134"/>
  <c r="AU52" i="134"/>
  <c r="I53" i="134"/>
  <c r="AH53" i="134"/>
  <c r="AJ53" i="134"/>
  <c r="AK53" i="134"/>
  <c r="AL53" i="134"/>
  <c r="AM53" i="134"/>
  <c r="AN53" i="134"/>
  <c r="AO53" i="134"/>
  <c r="AP53" i="134"/>
  <c r="AQ53" i="134"/>
  <c r="AR53" i="134"/>
  <c r="AS53" i="134"/>
  <c r="AT53" i="134"/>
  <c r="AU53" i="134"/>
  <c r="I54" i="134"/>
  <c r="AI54" i="134"/>
  <c r="AJ54" i="134"/>
  <c r="AK54" i="134"/>
  <c r="AL54" i="134"/>
  <c r="AM54" i="134"/>
  <c r="AN54" i="134"/>
  <c r="AO54" i="134"/>
  <c r="AP54" i="134"/>
  <c r="AQ54" i="134"/>
  <c r="AR54" i="134"/>
  <c r="AS54" i="134"/>
  <c r="AT54" i="134"/>
  <c r="AU54" i="134"/>
  <c r="I55" i="134"/>
  <c r="AH55" i="134"/>
  <c r="AJ55" i="134"/>
  <c r="AK55" i="134"/>
  <c r="AL55" i="134"/>
  <c r="AM55" i="134"/>
  <c r="AN55" i="134"/>
  <c r="AO55" i="134"/>
  <c r="AP55" i="134"/>
  <c r="AQ55" i="134"/>
  <c r="AR55" i="134"/>
  <c r="AS55" i="134"/>
  <c r="AT55" i="134"/>
  <c r="AU55" i="134"/>
  <c r="I56" i="134"/>
  <c r="AH56" i="134"/>
  <c r="AJ56" i="134"/>
  <c r="AK56" i="134"/>
  <c r="AL56" i="134"/>
  <c r="AM56" i="134"/>
  <c r="AN56" i="134"/>
  <c r="AO56" i="134"/>
  <c r="AP56" i="134"/>
  <c r="AQ56" i="134"/>
  <c r="AR56" i="134"/>
  <c r="AS56" i="134"/>
  <c r="AT56" i="134"/>
  <c r="AU56" i="134"/>
  <c r="I57" i="134"/>
  <c r="AH57" i="134"/>
  <c r="AJ57" i="134"/>
  <c r="AK57" i="134"/>
  <c r="AL57" i="134"/>
  <c r="AM57" i="134"/>
  <c r="AN57" i="134"/>
  <c r="AO57" i="134"/>
  <c r="AP57" i="134"/>
  <c r="AQ57" i="134"/>
  <c r="AR57" i="134"/>
  <c r="AS57" i="134"/>
  <c r="AT57" i="134"/>
  <c r="AU57" i="134"/>
  <c r="I58" i="134"/>
  <c r="AH58" i="134"/>
  <c r="AJ58" i="134"/>
  <c r="AK58" i="134"/>
  <c r="AL58" i="134"/>
  <c r="AM58" i="134"/>
  <c r="AN58" i="134"/>
  <c r="AO58" i="134"/>
  <c r="AP58" i="134"/>
  <c r="AQ58" i="134"/>
  <c r="AR58" i="134"/>
  <c r="AS58" i="134"/>
  <c r="AT58" i="134"/>
  <c r="AU58" i="134"/>
  <c r="I59" i="134"/>
  <c r="AH59" i="134"/>
  <c r="AJ59" i="134"/>
  <c r="AK59" i="134"/>
  <c r="AL59" i="134"/>
  <c r="AM59" i="134"/>
  <c r="AN59" i="134"/>
  <c r="AO59" i="134"/>
  <c r="AP59" i="134"/>
  <c r="AQ59" i="134"/>
  <c r="AR59" i="134"/>
  <c r="AS59" i="134"/>
  <c r="AT59" i="134"/>
  <c r="AU59" i="134"/>
  <c r="I60" i="134"/>
  <c r="AH60" i="134"/>
  <c r="AJ60" i="134"/>
  <c r="AK60" i="134"/>
  <c r="AL60" i="134"/>
  <c r="AM60" i="134"/>
  <c r="AN60" i="134"/>
  <c r="AO60" i="134"/>
  <c r="AP60" i="134"/>
  <c r="AQ60" i="134"/>
  <c r="AR60" i="134"/>
  <c r="AS60" i="134"/>
  <c r="AT60" i="134"/>
  <c r="AU60" i="134"/>
  <c r="I61" i="134"/>
  <c r="AH61" i="134"/>
  <c r="AJ61" i="134"/>
  <c r="AK61" i="134"/>
  <c r="AL61" i="134"/>
  <c r="AM61" i="134"/>
  <c r="AN61" i="134"/>
  <c r="AO61" i="134"/>
  <c r="AP61" i="134"/>
  <c r="AQ61" i="134"/>
  <c r="AR61" i="134"/>
  <c r="AS61" i="134"/>
  <c r="AT61" i="134"/>
  <c r="AU61" i="134"/>
  <c r="I62" i="134"/>
  <c r="AH62" i="134"/>
  <c r="AJ62" i="134"/>
  <c r="AK62" i="134"/>
  <c r="AL62" i="134"/>
  <c r="AM62" i="134"/>
  <c r="AN62" i="134"/>
  <c r="AO62" i="134"/>
  <c r="AP62" i="134"/>
  <c r="AQ62" i="134"/>
  <c r="AR62" i="134"/>
  <c r="AS62" i="134"/>
  <c r="AT62" i="134"/>
  <c r="AU62" i="134"/>
  <c r="I63" i="134"/>
  <c r="AH63" i="134"/>
  <c r="AJ63" i="134"/>
  <c r="AK63" i="134"/>
  <c r="AL63" i="134"/>
  <c r="AM63" i="134"/>
  <c r="AN63" i="134"/>
  <c r="AO63" i="134"/>
  <c r="AP63" i="134"/>
  <c r="AQ63" i="134"/>
  <c r="AR63" i="134"/>
  <c r="AS63" i="134"/>
  <c r="AT63" i="134"/>
  <c r="AU63" i="134"/>
  <c r="I64" i="134"/>
  <c r="AH64" i="134"/>
  <c r="AJ64" i="134"/>
  <c r="AK64" i="134"/>
  <c r="AL64" i="134"/>
  <c r="AM64" i="134"/>
  <c r="AN64" i="134"/>
  <c r="AO64" i="134"/>
  <c r="AP64" i="134"/>
  <c r="AQ64" i="134"/>
  <c r="AR64" i="134"/>
  <c r="AS64" i="134"/>
  <c r="AT64" i="134"/>
  <c r="AU64" i="134"/>
  <c r="I65" i="134"/>
  <c r="AH65" i="134"/>
  <c r="AJ65" i="134"/>
  <c r="AK65" i="134"/>
  <c r="AL65" i="134"/>
  <c r="AM65" i="134"/>
  <c r="AN65" i="134"/>
  <c r="AO65" i="134"/>
  <c r="AP65" i="134"/>
  <c r="AQ65" i="134"/>
  <c r="AR65" i="134"/>
  <c r="AS65" i="134"/>
  <c r="AT65" i="134"/>
  <c r="AU65" i="134"/>
  <c r="I66" i="134"/>
  <c r="AH66" i="134"/>
  <c r="AJ66" i="134"/>
  <c r="AK66" i="134"/>
  <c r="AL66" i="134"/>
  <c r="AM66" i="134"/>
  <c r="AN66" i="134"/>
  <c r="AO66" i="134"/>
  <c r="AP66" i="134"/>
  <c r="AQ66" i="134"/>
  <c r="AR66" i="134"/>
  <c r="AS66" i="134"/>
  <c r="AT66" i="134"/>
  <c r="AU66" i="134"/>
  <c r="I67" i="134"/>
  <c r="AH67" i="134"/>
  <c r="AJ67" i="134"/>
  <c r="AK67" i="134"/>
  <c r="AL67" i="134"/>
  <c r="AM67" i="134"/>
  <c r="AN67" i="134"/>
  <c r="AO67" i="134"/>
  <c r="AP67" i="134"/>
  <c r="AQ67" i="134"/>
  <c r="AR67" i="134"/>
  <c r="AS67" i="134"/>
  <c r="AT67" i="134"/>
  <c r="AU67" i="134"/>
  <c r="I68" i="134"/>
  <c r="AH68" i="134"/>
  <c r="AJ68" i="134"/>
  <c r="AK68" i="134"/>
  <c r="AL68" i="134"/>
  <c r="AM68" i="134"/>
  <c r="AN68" i="134"/>
  <c r="AO68" i="134"/>
  <c r="AP68" i="134"/>
  <c r="AQ68" i="134"/>
  <c r="AR68" i="134"/>
  <c r="AS68" i="134"/>
  <c r="AT68" i="134"/>
  <c r="AU68" i="134"/>
  <c r="I69" i="134"/>
  <c r="AH69" i="134"/>
  <c r="AJ69" i="134"/>
  <c r="AK69" i="134"/>
  <c r="AL69" i="134"/>
  <c r="AM69" i="134"/>
  <c r="AN69" i="134"/>
  <c r="AO69" i="134"/>
  <c r="AP69" i="134"/>
  <c r="AQ69" i="134"/>
  <c r="AR69" i="134"/>
  <c r="AS69" i="134"/>
  <c r="AT69" i="134"/>
  <c r="AU69" i="134"/>
  <c r="I70" i="134"/>
  <c r="AH70" i="134"/>
  <c r="AJ70" i="134"/>
  <c r="AK70" i="134"/>
  <c r="AL70" i="134"/>
  <c r="AM70" i="134"/>
  <c r="AN70" i="134"/>
  <c r="AO70" i="134"/>
  <c r="AP70" i="134"/>
  <c r="AQ70" i="134"/>
  <c r="AR70" i="134"/>
  <c r="AS70" i="134"/>
  <c r="AT70" i="134"/>
  <c r="AU70" i="134"/>
  <c r="I71" i="134"/>
  <c r="AH71" i="134"/>
  <c r="AJ71" i="134"/>
  <c r="AK71" i="134"/>
  <c r="AL71" i="134"/>
  <c r="AM71" i="134"/>
  <c r="AN71" i="134"/>
  <c r="AO71" i="134"/>
  <c r="AP71" i="134"/>
  <c r="AQ71" i="134"/>
  <c r="AR71" i="134"/>
  <c r="AS71" i="134"/>
  <c r="AT71" i="134"/>
  <c r="AU71" i="134"/>
  <c r="I72" i="134"/>
  <c r="H72" i="134"/>
  <c r="AH72" i="134"/>
  <c r="AJ72" i="134"/>
  <c r="AK72" i="134"/>
  <c r="AL72" i="134"/>
  <c r="AM72" i="134"/>
  <c r="AN72" i="134"/>
  <c r="AO72" i="134"/>
  <c r="AP72" i="134"/>
  <c r="AQ72" i="134"/>
  <c r="AR72" i="134"/>
  <c r="AS72" i="134"/>
  <c r="AT72" i="134"/>
  <c r="AU72" i="134"/>
  <c r="I73" i="134"/>
  <c r="AH73" i="134"/>
  <c r="AJ73" i="134"/>
  <c r="AK73" i="134"/>
  <c r="AL73" i="134"/>
  <c r="AM73" i="134"/>
  <c r="AN73" i="134"/>
  <c r="AO73" i="134"/>
  <c r="AP73" i="134"/>
  <c r="AQ73" i="134"/>
  <c r="AR73" i="134"/>
  <c r="AS73" i="134"/>
  <c r="AT73" i="134"/>
  <c r="AU73" i="134"/>
  <c r="I74" i="134"/>
  <c r="AH74" i="134"/>
  <c r="AJ74" i="134"/>
  <c r="AK74" i="134"/>
  <c r="AL74" i="134"/>
  <c r="AM74" i="134"/>
  <c r="AN74" i="134"/>
  <c r="AO74" i="134"/>
  <c r="AP74" i="134"/>
  <c r="AQ74" i="134"/>
  <c r="AR74" i="134"/>
  <c r="AS74" i="134"/>
  <c r="AT74" i="134"/>
  <c r="AU74" i="134"/>
  <c r="I75" i="134"/>
  <c r="AH75" i="134"/>
  <c r="AJ75" i="134"/>
  <c r="AK75" i="134"/>
  <c r="AL75" i="134"/>
  <c r="AM75" i="134"/>
  <c r="AN75" i="134"/>
  <c r="AO75" i="134"/>
  <c r="AP75" i="134"/>
  <c r="AQ75" i="134"/>
  <c r="AR75" i="134"/>
  <c r="AS75" i="134"/>
  <c r="AT75" i="134"/>
  <c r="AU75" i="134"/>
  <c r="I76" i="134"/>
  <c r="AH76" i="134"/>
  <c r="AJ76" i="134"/>
  <c r="AK76" i="134"/>
  <c r="AL76" i="134"/>
  <c r="AM76" i="134"/>
  <c r="AN76" i="134"/>
  <c r="AO76" i="134"/>
  <c r="AP76" i="134"/>
  <c r="AQ76" i="134"/>
  <c r="AR76" i="134"/>
  <c r="AS76" i="134"/>
  <c r="AT76" i="134"/>
  <c r="AU76" i="134"/>
  <c r="I77" i="134"/>
  <c r="AH77" i="134"/>
  <c r="AJ77" i="134"/>
  <c r="AK77" i="134"/>
  <c r="AL77" i="134"/>
  <c r="AM77" i="134"/>
  <c r="AN77" i="134"/>
  <c r="AO77" i="134"/>
  <c r="AP77" i="134"/>
  <c r="AQ77" i="134"/>
  <c r="AR77" i="134"/>
  <c r="AS77" i="134"/>
  <c r="AT77" i="134"/>
  <c r="AU77" i="134"/>
  <c r="I78" i="134"/>
  <c r="AH78" i="134"/>
  <c r="AJ78" i="134"/>
  <c r="AK78" i="134"/>
  <c r="AL78" i="134"/>
  <c r="AM78" i="134"/>
  <c r="AN78" i="134"/>
  <c r="AO78" i="134"/>
  <c r="AP78" i="134"/>
  <c r="AQ78" i="134"/>
  <c r="AR78" i="134"/>
  <c r="AS78" i="134"/>
  <c r="AT78" i="134"/>
  <c r="AU78" i="134"/>
  <c r="I79" i="134"/>
  <c r="AH79" i="134"/>
  <c r="AJ79" i="134"/>
  <c r="AK79" i="134"/>
  <c r="AL79" i="134"/>
  <c r="AM79" i="134"/>
  <c r="AN79" i="134"/>
  <c r="AO79" i="134"/>
  <c r="AP79" i="134"/>
  <c r="AQ79" i="134"/>
  <c r="AR79" i="134"/>
  <c r="AS79" i="134"/>
  <c r="AT79" i="134"/>
  <c r="AU79" i="134"/>
  <c r="I80" i="134"/>
  <c r="AH80" i="134"/>
  <c r="AJ80" i="134"/>
  <c r="AK80" i="134"/>
  <c r="AL80" i="134"/>
  <c r="AM80" i="134"/>
  <c r="AN80" i="134"/>
  <c r="AO80" i="134"/>
  <c r="AP80" i="134"/>
  <c r="AQ80" i="134"/>
  <c r="AR80" i="134"/>
  <c r="AS80" i="134"/>
  <c r="AT80" i="134"/>
  <c r="AU80" i="134"/>
  <c r="I81" i="134"/>
  <c r="AH81" i="134"/>
  <c r="AJ81" i="134"/>
  <c r="AK81" i="134"/>
  <c r="AL81" i="134"/>
  <c r="AM81" i="134"/>
  <c r="AN81" i="134"/>
  <c r="AO81" i="134"/>
  <c r="AP81" i="134"/>
  <c r="AQ81" i="134"/>
  <c r="AR81" i="134"/>
  <c r="AS81" i="134"/>
  <c r="AT81" i="134"/>
  <c r="AU81" i="134"/>
  <c r="I82" i="134"/>
  <c r="AH82" i="134"/>
  <c r="AJ82" i="134"/>
  <c r="AK82" i="134"/>
  <c r="AL82" i="134"/>
  <c r="AM82" i="134"/>
  <c r="AN82" i="134"/>
  <c r="AO82" i="134"/>
  <c r="AP82" i="134"/>
  <c r="AQ82" i="134"/>
  <c r="AR82" i="134"/>
  <c r="AS82" i="134"/>
  <c r="AT82" i="134"/>
  <c r="AU82" i="134"/>
  <c r="I83" i="134"/>
  <c r="AH83" i="134"/>
  <c r="AJ83" i="134"/>
  <c r="AK83" i="134"/>
  <c r="AL83" i="134"/>
  <c r="AM83" i="134"/>
  <c r="AN83" i="134"/>
  <c r="AO83" i="134"/>
  <c r="AP83" i="134"/>
  <c r="AQ83" i="134"/>
  <c r="AR83" i="134"/>
  <c r="AS83" i="134"/>
  <c r="AT83" i="134"/>
  <c r="AU83" i="134"/>
  <c r="I84" i="134"/>
  <c r="AH84" i="134"/>
  <c r="AJ84" i="134"/>
  <c r="AK84" i="134"/>
  <c r="AL84" i="134"/>
  <c r="AM84" i="134"/>
  <c r="AN84" i="134"/>
  <c r="AO84" i="134"/>
  <c r="AP84" i="134"/>
  <c r="AQ84" i="134"/>
  <c r="AR84" i="134"/>
  <c r="AS84" i="134"/>
  <c r="AT84" i="134"/>
  <c r="AU84" i="134"/>
  <c r="I85" i="134"/>
  <c r="AH85" i="134"/>
  <c r="AJ85" i="134"/>
  <c r="AK85" i="134"/>
  <c r="AL85" i="134"/>
  <c r="AM85" i="134"/>
  <c r="AN85" i="134"/>
  <c r="AO85" i="134"/>
  <c r="AP85" i="134"/>
  <c r="AQ85" i="134"/>
  <c r="AR85" i="134"/>
  <c r="AS85" i="134"/>
  <c r="AT85" i="134"/>
  <c r="AU85" i="134"/>
  <c r="I86" i="134"/>
  <c r="AH86" i="134"/>
  <c r="AJ86" i="134"/>
  <c r="AK86" i="134"/>
  <c r="AL86" i="134"/>
  <c r="AM86" i="134"/>
  <c r="AN86" i="134"/>
  <c r="AO86" i="134"/>
  <c r="AP86" i="134"/>
  <c r="AQ86" i="134"/>
  <c r="AR86" i="134"/>
  <c r="AS86" i="134"/>
  <c r="AT86" i="134"/>
  <c r="AU86" i="134"/>
  <c r="I87" i="134"/>
  <c r="AH87" i="134"/>
  <c r="AJ87" i="134"/>
  <c r="AK87" i="134"/>
  <c r="AL87" i="134"/>
  <c r="AM87" i="134"/>
  <c r="AN87" i="134"/>
  <c r="AO87" i="134"/>
  <c r="AP87" i="134"/>
  <c r="AQ87" i="134"/>
  <c r="AR87" i="134"/>
  <c r="AS87" i="134"/>
  <c r="AT87" i="134"/>
  <c r="AU87" i="134"/>
  <c r="I88" i="134"/>
  <c r="H88" i="134"/>
  <c r="AH88" i="134"/>
  <c r="AJ88" i="134"/>
  <c r="AK88" i="134"/>
  <c r="AL88" i="134"/>
  <c r="AM88" i="134"/>
  <c r="AN88" i="134"/>
  <c r="AO88" i="134"/>
  <c r="AP88" i="134"/>
  <c r="AQ88" i="134"/>
  <c r="AR88" i="134"/>
  <c r="AS88" i="134"/>
  <c r="AT88" i="134"/>
  <c r="AU88" i="134"/>
  <c r="I89" i="134"/>
  <c r="AH89" i="134"/>
  <c r="AJ89" i="134"/>
  <c r="AK89" i="134"/>
  <c r="AL89" i="134"/>
  <c r="AM89" i="134"/>
  <c r="AN89" i="134"/>
  <c r="AO89" i="134"/>
  <c r="AP89" i="134"/>
  <c r="AQ89" i="134"/>
  <c r="AR89" i="134"/>
  <c r="AS89" i="134"/>
  <c r="AT89" i="134"/>
  <c r="AU89" i="134"/>
  <c r="I90" i="134"/>
  <c r="AH90" i="134"/>
  <c r="AJ90" i="134"/>
  <c r="AK90" i="134"/>
  <c r="AL90" i="134"/>
  <c r="AM90" i="134"/>
  <c r="AN90" i="134"/>
  <c r="AO90" i="134"/>
  <c r="AP90" i="134"/>
  <c r="AQ90" i="134"/>
  <c r="AR90" i="134"/>
  <c r="AS90" i="134"/>
  <c r="AT90" i="134"/>
  <c r="AU90" i="134"/>
  <c r="I91" i="134"/>
  <c r="AH91" i="134"/>
  <c r="AJ91" i="134"/>
  <c r="AK91" i="134"/>
  <c r="AL91" i="134"/>
  <c r="AM91" i="134"/>
  <c r="AN91" i="134"/>
  <c r="AO91" i="134"/>
  <c r="AP91" i="134"/>
  <c r="AQ91" i="134"/>
  <c r="AR91" i="134"/>
  <c r="AS91" i="134"/>
  <c r="AT91" i="134"/>
  <c r="AU91" i="134"/>
  <c r="I92" i="134"/>
  <c r="AH92" i="134"/>
  <c r="AJ92" i="134"/>
  <c r="AK92" i="134"/>
  <c r="AL92" i="134"/>
  <c r="AM92" i="134"/>
  <c r="AN92" i="134"/>
  <c r="AO92" i="134"/>
  <c r="AP92" i="134"/>
  <c r="AQ92" i="134"/>
  <c r="AR92" i="134"/>
  <c r="AS92" i="134"/>
  <c r="AT92" i="134"/>
  <c r="AU92" i="134"/>
  <c r="I93" i="134"/>
  <c r="AI93" i="134"/>
  <c r="AH93" i="134"/>
  <c r="AJ93" i="134"/>
  <c r="AK93" i="134"/>
  <c r="AL93" i="134"/>
  <c r="AM93" i="134"/>
  <c r="AN93" i="134"/>
  <c r="AO93" i="134"/>
  <c r="AP93" i="134"/>
  <c r="AQ93" i="134"/>
  <c r="AR93" i="134"/>
  <c r="AS93" i="134"/>
  <c r="AT93" i="134"/>
  <c r="AU93" i="134"/>
  <c r="I94" i="134"/>
  <c r="AH94" i="134"/>
  <c r="AJ94" i="134"/>
  <c r="AK94" i="134"/>
  <c r="AL94" i="134"/>
  <c r="AM94" i="134"/>
  <c r="AN94" i="134"/>
  <c r="AO94" i="134"/>
  <c r="AP94" i="134"/>
  <c r="AQ94" i="134"/>
  <c r="AR94" i="134"/>
  <c r="AS94" i="134"/>
  <c r="AT94" i="134"/>
  <c r="AU94" i="134"/>
  <c r="I95" i="134"/>
  <c r="AH95" i="134"/>
  <c r="AJ95" i="134"/>
  <c r="AK95" i="134"/>
  <c r="AL95" i="134"/>
  <c r="AM95" i="134"/>
  <c r="AN95" i="134"/>
  <c r="AO95" i="134"/>
  <c r="AP95" i="134"/>
  <c r="AQ95" i="134"/>
  <c r="AR95" i="134"/>
  <c r="AS95" i="134"/>
  <c r="AT95" i="134"/>
  <c r="AU95" i="134"/>
  <c r="I96" i="134"/>
  <c r="AH96" i="134"/>
  <c r="AJ96" i="134"/>
  <c r="AK96" i="134"/>
  <c r="AL96" i="134"/>
  <c r="AM96" i="134"/>
  <c r="AN96" i="134"/>
  <c r="AO96" i="134"/>
  <c r="AP96" i="134"/>
  <c r="AQ96" i="134"/>
  <c r="AR96" i="134"/>
  <c r="AS96" i="134"/>
  <c r="AT96" i="134"/>
  <c r="AU96" i="134"/>
  <c r="I97" i="134"/>
  <c r="AH97" i="134"/>
  <c r="AJ97" i="134"/>
  <c r="AK97" i="134"/>
  <c r="AL97" i="134"/>
  <c r="AM97" i="134"/>
  <c r="AN97" i="134"/>
  <c r="AO97" i="134"/>
  <c r="AP97" i="134"/>
  <c r="AQ97" i="134"/>
  <c r="AR97" i="134"/>
  <c r="AS97" i="134"/>
  <c r="AT97" i="134"/>
  <c r="AU97" i="134"/>
  <c r="I98" i="134"/>
  <c r="AH98" i="134"/>
  <c r="AJ98" i="134"/>
  <c r="AK98" i="134"/>
  <c r="AL98" i="134"/>
  <c r="AM98" i="134"/>
  <c r="AN98" i="134"/>
  <c r="AO98" i="134"/>
  <c r="AP98" i="134"/>
  <c r="AQ98" i="134"/>
  <c r="AR98" i="134"/>
  <c r="AS98" i="134"/>
  <c r="AT98" i="134"/>
  <c r="AU98" i="134"/>
  <c r="I99" i="134"/>
  <c r="AH99" i="134"/>
  <c r="AJ99" i="134"/>
  <c r="AK99" i="134"/>
  <c r="AL99" i="134"/>
  <c r="AM99" i="134"/>
  <c r="AN99" i="134"/>
  <c r="AO99" i="134"/>
  <c r="AP99" i="134"/>
  <c r="AQ99" i="134"/>
  <c r="AR99" i="134"/>
  <c r="AS99" i="134"/>
  <c r="AT99" i="134"/>
  <c r="AU99" i="134"/>
  <c r="I100" i="134"/>
  <c r="AH100" i="134"/>
  <c r="AJ100" i="134"/>
  <c r="AK100" i="134"/>
  <c r="AL100" i="134"/>
  <c r="AM100" i="134"/>
  <c r="AN100" i="134"/>
  <c r="AO100" i="134"/>
  <c r="AP100" i="134"/>
  <c r="AQ100" i="134"/>
  <c r="AR100" i="134"/>
  <c r="AS100" i="134"/>
  <c r="AT100" i="134"/>
  <c r="AU100" i="134"/>
  <c r="I101" i="134"/>
  <c r="AH101" i="134"/>
  <c r="AJ101" i="134"/>
  <c r="AK101" i="134"/>
  <c r="AL101" i="134"/>
  <c r="AM101" i="134"/>
  <c r="AN101" i="134"/>
  <c r="AO101" i="134"/>
  <c r="AP101" i="134"/>
  <c r="AQ101" i="134"/>
  <c r="AR101" i="134"/>
  <c r="AS101" i="134"/>
  <c r="AT101" i="134"/>
  <c r="AU101" i="134"/>
  <c r="I102" i="134"/>
  <c r="AH102" i="134"/>
  <c r="AJ102" i="134"/>
  <c r="AK102" i="134"/>
  <c r="AL102" i="134"/>
  <c r="AM102" i="134"/>
  <c r="AN102" i="134"/>
  <c r="AO102" i="134"/>
  <c r="AP102" i="134"/>
  <c r="AQ102" i="134"/>
  <c r="AR102" i="134"/>
  <c r="AS102" i="134"/>
  <c r="AT102" i="134"/>
  <c r="AU102" i="134"/>
  <c r="I103" i="134"/>
  <c r="AH103" i="134"/>
  <c r="AJ103" i="134"/>
  <c r="AK103" i="134"/>
  <c r="AL103" i="134"/>
  <c r="AM103" i="134"/>
  <c r="AN103" i="134"/>
  <c r="AO103" i="134"/>
  <c r="AP103" i="134"/>
  <c r="AQ103" i="134"/>
  <c r="AR103" i="134"/>
  <c r="AS103" i="134"/>
  <c r="AT103" i="134"/>
  <c r="AU103" i="134"/>
  <c r="I104" i="134"/>
  <c r="H104" i="134"/>
  <c r="AH104" i="134"/>
  <c r="AJ104" i="134"/>
  <c r="AK104" i="134"/>
  <c r="AL104" i="134"/>
  <c r="AM104" i="134"/>
  <c r="AN104" i="134"/>
  <c r="AO104" i="134"/>
  <c r="AP104" i="134"/>
  <c r="AQ104" i="134"/>
  <c r="AR104" i="134"/>
  <c r="AS104" i="134"/>
  <c r="AT104" i="134"/>
  <c r="AU104" i="134"/>
  <c r="I105" i="134"/>
  <c r="AH105" i="134"/>
  <c r="AJ105" i="134"/>
  <c r="AK105" i="134"/>
  <c r="AL105" i="134"/>
  <c r="AM105" i="134"/>
  <c r="AN105" i="134"/>
  <c r="AO105" i="134"/>
  <c r="AP105" i="134"/>
  <c r="AQ105" i="134"/>
  <c r="AR105" i="134"/>
  <c r="AS105" i="134"/>
  <c r="AT105" i="134"/>
  <c r="AU105" i="134"/>
  <c r="I106" i="134"/>
  <c r="H106" i="134"/>
  <c r="AH106" i="134"/>
  <c r="AJ106" i="134"/>
  <c r="AK106" i="134"/>
  <c r="AL106" i="134"/>
  <c r="AM106" i="134"/>
  <c r="AN106" i="134"/>
  <c r="AO106" i="134"/>
  <c r="AP106" i="134"/>
  <c r="AQ106" i="134"/>
  <c r="AR106" i="134"/>
  <c r="AS106" i="134"/>
  <c r="AT106" i="134"/>
  <c r="AU106" i="134"/>
  <c r="I107" i="134"/>
  <c r="AH107" i="134"/>
  <c r="AJ107" i="134"/>
  <c r="AK107" i="134"/>
  <c r="AL107" i="134"/>
  <c r="AM107" i="134"/>
  <c r="AN107" i="134"/>
  <c r="AO107" i="134"/>
  <c r="AP107" i="134"/>
  <c r="AQ107" i="134"/>
  <c r="AR107" i="134"/>
  <c r="AS107" i="134"/>
  <c r="AT107" i="134"/>
  <c r="AU107" i="134"/>
  <c r="I108" i="134"/>
  <c r="H108" i="134"/>
  <c r="AH108" i="134"/>
  <c r="AJ108" i="134"/>
  <c r="AK108" i="134"/>
  <c r="AL108" i="134"/>
  <c r="AM108" i="134"/>
  <c r="AN108" i="134"/>
  <c r="AO108" i="134"/>
  <c r="AP108" i="134"/>
  <c r="AQ108" i="134"/>
  <c r="AR108" i="134"/>
  <c r="AS108" i="134"/>
  <c r="AT108" i="134"/>
  <c r="AU108" i="134"/>
  <c r="I109" i="134"/>
  <c r="AH109" i="134"/>
  <c r="AJ109" i="134"/>
  <c r="AK109" i="134"/>
  <c r="AL109" i="134"/>
  <c r="AM109" i="134"/>
  <c r="AN109" i="134"/>
  <c r="AO109" i="134"/>
  <c r="AP109" i="134"/>
  <c r="AQ109" i="134"/>
  <c r="AR109" i="134"/>
  <c r="AS109" i="134"/>
  <c r="AT109" i="134"/>
  <c r="AU109" i="134"/>
  <c r="I110" i="134"/>
  <c r="AH110" i="134"/>
  <c r="AJ110" i="134"/>
  <c r="AK110" i="134"/>
  <c r="AL110" i="134"/>
  <c r="AM110" i="134"/>
  <c r="AN110" i="134"/>
  <c r="AO110" i="134"/>
  <c r="AP110" i="134"/>
  <c r="AQ110" i="134"/>
  <c r="AR110" i="134"/>
  <c r="AS110" i="134"/>
  <c r="AT110" i="134"/>
  <c r="AU110" i="134"/>
  <c r="I111" i="134"/>
  <c r="AH111" i="134"/>
  <c r="AJ111" i="134"/>
  <c r="AK111" i="134"/>
  <c r="AL111" i="134"/>
  <c r="AM111" i="134"/>
  <c r="AN111" i="134"/>
  <c r="AO111" i="134"/>
  <c r="AP111" i="134"/>
  <c r="AQ111" i="134"/>
  <c r="AR111" i="134"/>
  <c r="AS111" i="134"/>
  <c r="AT111" i="134"/>
  <c r="AU111" i="134"/>
  <c r="I112" i="134"/>
  <c r="AH112" i="134"/>
  <c r="AJ112" i="134"/>
  <c r="AK112" i="134"/>
  <c r="AL112" i="134"/>
  <c r="AM112" i="134"/>
  <c r="AN112" i="134"/>
  <c r="AO112" i="134"/>
  <c r="AP112" i="134"/>
  <c r="AQ112" i="134"/>
  <c r="AR112" i="134"/>
  <c r="AS112" i="134"/>
  <c r="AT112" i="134"/>
  <c r="AU112" i="134"/>
  <c r="I113" i="134"/>
  <c r="AH113" i="134"/>
  <c r="AJ113" i="134"/>
  <c r="AK113" i="134"/>
  <c r="AL113" i="134"/>
  <c r="AM113" i="134"/>
  <c r="AN113" i="134"/>
  <c r="AO113" i="134"/>
  <c r="AP113" i="134"/>
  <c r="AQ113" i="134"/>
  <c r="AR113" i="134"/>
  <c r="AS113" i="134"/>
  <c r="AT113" i="134"/>
  <c r="AU113" i="134"/>
  <c r="AN114" i="134"/>
  <c r="AO114" i="134"/>
  <c r="AP114" i="134"/>
  <c r="AQ114" i="134"/>
  <c r="AR114" i="134"/>
  <c r="AS114" i="134"/>
  <c r="AT114" i="134"/>
  <c r="AU114" i="134"/>
  <c r="AJ8" i="134"/>
  <c r="AJ121" i="134" s="1"/>
  <c r="AK8" i="134"/>
  <c r="AM8" i="134"/>
  <c r="AM121" i="134" s="1"/>
  <c r="AN8" i="134"/>
  <c r="AN121" i="134" s="1"/>
  <c r="AO8" i="134"/>
  <c r="AO121" i="134" s="1"/>
  <c r="AP8" i="134"/>
  <c r="AQ8" i="134"/>
  <c r="AR8" i="134"/>
  <c r="AR121" i="134" s="1"/>
  <c r="AS8" i="134"/>
  <c r="AS121" i="134" s="1"/>
  <c r="AT8" i="134"/>
  <c r="AT121" i="134" s="1"/>
  <c r="AU8" i="134"/>
  <c r="AU121" i="134" s="1"/>
  <c r="AJ9" i="134"/>
  <c r="AK9" i="134"/>
  <c r="AJ24" i="134"/>
  <c r="AK24" i="134"/>
  <c r="AR24" i="134"/>
  <c r="AS24" i="134"/>
  <c r="AT24" i="134"/>
  <c r="AU24" i="134"/>
  <c r="AJ26" i="134"/>
  <c r="AK26" i="134"/>
  <c r="AL26" i="134"/>
  <c r="AM26" i="134"/>
  <c r="AN26" i="134"/>
  <c r="AO26" i="134"/>
  <c r="AP26" i="134"/>
  <c r="AQ26" i="134"/>
  <c r="AR26" i="134"/>
  <c r="AS26" i="134"/>
  <c r="AT26" i="134"/>
  <c r="AU26" i="134"/>
  <c r="AJ27" i="134"/>
  <c r="AK27" i="134"/>
  <c r="AM27" i="134"/>
  <c r="AN27" i="134"/>
  <c r="AO27" i="134"/>
  <c r="AP27" i="134"/>
  <c r="AQ27" i="134"/>
  <c r="AR27" i="134"/>
  <c r="AS27" i="134"/>
  <c r="AT27" i="134"/>
  <c r="AU27" i="134"/>
  <c r="AJ28" i="134"/>
  <c r="AK28" i="134"/>
  <c r="AL28" i="134"/>
  <c r="AM28" i="134"/>
  <c r="AN28" i="134"/>
  <c r="AO28" i="134"/>
  <c r="AP28" i="134"/>
  <c r="AQ28" i="134"/>
  <c r="AR28" i="134"/>
  <c r="AS28" i="134"/>
  <c r="AT28" i="134"/>
  <c r="AU28" i="134"/>
  <c r="AJ29" i="134"/>
  <c r="AK29" i="134"/>
  <c r="AL29" i="134"/>
  <c r="AM29" i="134"/>
  <c r="AN29" i="134"/>
  <c r="AO29" i="134"/>
  <c r="AP29" i="134"/>
  <c r="AQ29" i="134"/>
  <c r="AR29" i="134"/>
  <c r="AS29" i="134"/>
  <c r="AT29" i="134"/>
  <c r="AU29" i="134"/>
  <c r="AJ30" i="134"/>
  <c r="AK30" i="134"/>
  <c r="AL30" i="134"/>
  <c r="AM30" i="134"/>
  <c r="AN30" i="134"/>
  <c r="AO30" i="134"/>
  <c r="AP30" i="134"/>
  <c r="AQ30" i="134"/>
  <c r="AR30" i="134"/>
  <c r="AS30" i="134"/>
  <c r="AT30" i="134"/>
  <c r="AU30" i="134"/>
  <c r="AJ31" i="134"/>
  <c r="AK31" i="134"/>
  <c r="AL31" i="134"/>
  <c r="AM31" i="134"/>
  <c r="AN31" i="134"/>
  <c r="AO31" i="134"/>
  <c r="AP31" i="134"/>
  <c r="AQ31" i="134"/>
  <c r="AR31" i="134"/>
  <c r="AS31" i="134"/>
  <c r="AT31" i="134"/>
  <c r="AU31" i="134"/>
  <c r="AJ32" i="134"/>
  <c r="AK32" i="134"/>
  <c r="AL32" i="134"/>
  <c r="AM32" i="134"/>
  <c r="AN32" i="134"/>
  <c r="AO32" i="134"/>
  <c r="AP32" i="134"/>
  <c r="AQ32" i="134"/>
  <c r="AR32" i="134"/>
  <c r="AS32" i="134"/>
  <c r="AT32" i="134"/>
  <c r="AU32" i="134"/>
  <c r="AJ33" i="134"/>
  <c r="AK33" i="134"/>
  <c r="AL33" i="134"/>
  <c r="AM33" i="134"/>
  <c r="AN33" i="134"/>
  <c r="AO33" i="134"/>
  <c r="AP33" i="134"/>
  <c r="AQ33" i="134"/>
  <c r="AR33" i="134"/>
  <c r="AS33" i="134"/>
  <c r="AT33" i="134"/>
  <c r="AU33" i="134"/>
  <c r="AJ34" i="134"/>
  <c r="AK34" i="134"/>
  <c r="AL34" i="134"/>
  <c r="AM34" i="134"/>
  <c r="AN34" i="134"/>
  <c r="AO34" i="134"/>
  <c r="AP34" i="134"/>
  <c r="AQ34" i="134"/>
  <c r="AR34" i="134"/>
  <c r="AS34" i="134"/>
  <c r="AT34" i="134"/>
  <c r="AU34" i="134"/>
  <c r="AJ35" i="134"/>
  <c r="AK35" i="134"/>
  <c r="AL35" i="134"/>
  <c r="AM35" i="134"/>
  <c r="AN35" i="134"/>
  <c r="AO35" i="134"/>
  <c r="AP35" i="134"/>
  <c r="AQ35" i="134"/>
  <c r="AR35" i="134"/>
  <c r="AS35" i="134"/>
  <c r="AT35" i="134"/>
  <c r="AU35" i="134"/>
  <c r="AJ36" i="134"/>
  <c r="AK36" i="134"/>
  <c r="AL36" i="134"/>
  <c r="AM36" i="134"/>
  <c r="AN36" i="134"/>
  <c r="AO36" i="134"/>
  <c r="AP36" i="134"/>
  <c r="AQ36" i="134"/>
  <c r="AR36" i="134"/>
  <c r="AS36" i="134"/>
  <c r="AT36" i="134"/>
  <c r="AU36" i="134"/>
  <c r="AJ37" i="134"/>
  <c r="AK37" i="134"/>
  <c r="AL37" i="134"/>
  <c r="AM37" i="134"/>
  <c r="AN37" i="134"/>
  <c r="AO37" i="134"/>
  <c r="AP37" i="134"/>
  <c r="AQ37" i="134"/>
  <c r="AR37" i="134"/>
  <c r="AS37" i="134"/>
  <c r="AT37" i="134"/>
  <c r="AU37" i="134"/>
  <c r="AJ40" i="134"/>
  <c r="AK40" i="134"/>
  <c r="AL40" i="134"/>
  <c r="AM40" i="134"/>
  <c r="AN40" i="134"/>
  <c r="AO40" i="134"/>
  <c r="AP40" i="134"/>
  <c r="AQ40" i="134"/>
  <c r="AR40" i="134"/>
  <c r="AS40" i="134"/>
  <c r="AT40" i="134"/>
  <c r="AU40" i="134"/>
  <c r="AJ41" i="134"/>
  <c r="AK41" i="134"/>
  <c r="AL41" i="134"/>
  <c r="AM41" i="134"/>
  <c r="AN41" i="134"/>
  <c r="AO41" i="134"/>
  <c r="AP41" i="134"/>
  <c r="AQ41" i="134"/>
  <c r="AR41" i="134"/>
  <c r="AS41" i="134"/>
  <c r="AT41" i="134"/>
  <c r="AU41" i="134"/>
  <c r="AJ42" i="134"/>
  <c r="AK42" i="134"/>
  <c r="AL42" i="134"/>
  <c r="AM42" i="134"/>
  <c r="AN42" i="134"/>
  <c r="AO42" i="134"/>
  <c r="AP42" i="134"/>
  <c r="AQ42" i="134"/>
  <c r="AR42" i="134"/>
  <c r="AS42" i="134"/>
  <c r="AT42" i="134"/>
  <c r="AU42" i="134"/>
  <c r="AJ43" i="134"/>
  <c r="AK43" i="134"/>
  <c r="AL43" i="134"/>
  <c r="AM43" i="134"/>
  <c r="AN43" i="134"/>
  <c r="AO43" i="134"/>
  <c r="AP43" i="134"/>
  <c r="AQ43" i="134"/>
  <c r="AR43" i="134"/>
  <c r="AS43" i="134"/>
  <c r="AT43" i="134"/>
  <c r="AU43" i="134"/>
  <c r="AJ44" i="134"/>
  <c r="AK44" i="134"/>
  <c r="AL44" i="134"/>
  <c r="AM44" i="134"/>
  <c r="AN44" i="134"/>
  <c r="AO44" i="134"/>
  <c r="AP44" i="134"/>
  <c r="AQ44" i="134"/>
  <c r="AR44" i="134"/>
  <c r="AS44" i="134"/>
  <c r="AT44" i="134"/>
  <c r="AU44" i="134"/>
  <c r="AJ45" i="134"/>
  <c r="AK45" i="134"/>
  <c r="AL45" i="134"/>
  <c r="AM45" i="134"/>
  <c r="AN45" i="134"/>
  <c r="AO45" i="134"/>
  <c r="AP45" i="134"/>
  <c r="AQ45" i="134"/>
  <c r="AR45" i="134"/>
  <c r="AS45" i="134"/>
  <c r="AT45" i="134"/>
  <c r="AU45" i="134"/>
  <c r="AJ47" i="134"/>
  <c r="AK47" i="134"/>
  <c r="AL47" i="134"/>
  <c r="AM47" i="134"/>
  <c r="AN47" i="134"/>
  <c r="AO47" i="134"/>
  <c r="AP47" i="134"/>
  <c r="AQ47" i="134"/>
  <c r="AR47" i="134"/>
  <c r="AS47" i="134"/>
  <c r="AT47" i="134"/>
  <c r="AU47" i="134"/>
  <c r="AJ48" i="134"/>
  <c r="AK48" i="134"/>
  <c r="AL48" i="134"/>
  <c r="AM48" i="134"/>
  <c r="AN48" i="134"/>
  <c r="AO48" i="134"/>
  <c r="AP48" i="134"/>
  <c r="AQ48" i="134"/>
  <c r="AR48" i="134"/>
  <c r="AS48" i="134"/>
  <c r="AT48" i="134"/>
  <c r="AU48" i="134"/>
  <c r="AK121" i="134"/>
  <c r="AP121" i="134"/>
  <c r="AQ121" i="134"/>
  <c r="B13" i="112"/>
  <c r="E60" i="112" l="1"/>
  <c r="M33" i="134"/>
  <c r="E59" i="112"/>
  <c r="E53" i="112"/>
  <c r="M34" i="134"/>
  <c r="F52" i="112" s="1"/>
  <c r="E52" i="112"/>
  <c r="E48" i="112"/>
  <c r="M30" i="134"/>
  <c r="F48" i="112" s="1"/>
  <c r="E57" i="112"/>
  <c r="M39" i="134"/>
  <c r="F57" i="112" s="1"/>
  <c r="M38" i="134"/>
  <c r="F56" i="112" s="1"/>
  <c r="E56" i="112"/>
  <c r="M37" i="134"/>
  <c r="F55" i="112" s="1"/>
  <c r="E55" i="112"/>
  <c r="E54" i="112"/>
  <c r="M36" i="134"/>
  <c r="F54" i="112" s="1"/>
  <c r="H49" i="134"/>
  <c r="AI49" i="134" a="1"/>
  <c r="AI49" i="134" s="1"/>
  <c r="M46" i="134"/>
  <c r="F64" i="112" s="1"/>
  <c r="J64" i="134"/>
  <c r="K64" i="134" s="1"/>
  <c r="J57" i="134"/>
  <c r="K57" i="134" s="1"/>
  <c r="AI51" i="134"/>
  <c r="J106" i="134"/>
  <c r="K106" i="134" s="1"/>
  <c r="J51" i="134"/>
  <c r="K51" i="134" s="1"/>
  <c r="AI73" i="134"/>
  <c r="AI64" i="134"/>
  <c r="AI107" i="134"/>
  <c r="AI57" i="134"/>
  <c r="J96" i="134"/>
  <c r="K96" i="134" s="1"/>
  <c r="AI89" i="134"/>
  <c r="J110" i="134"/>
  <c r="K110" i="134" s="1"/>
  <c r="J80" i="134"/>
  <c r="K80" i="134" s="1"/>
  <c r="J76" i="134"/>
  <c r="K76" i="134" s="1"/>
  <c r="J89" i="134"/>
  <c r="K89" i="134" s="1"/>
  <c r="L89" i="134"/>
  <c r="E107" i="112" s="1"/>
  <c r="AI106" i="134"/>
  <c r="AI104" i="134"/>
  <c r="J72" i="134"/>
  <c r="K72" i="134" s="1"/>
  <c r="AI69" i="134"/>
  <c r="AI56" i="134"/>
  <c r="AI80" i="134"/>
  <c r="J107" i="134"/>
  <c r="K107" i="134" s="1"/>
  <c r="J88" i="134"/>
  <c r="K88" i="134" s="1"/>
  <c r="J84" i="134"/>
  <c r="K84" i="134" s="1"/>
  <c r="J69" i="134"/>
  <c r="K69" i="134" s="1"/>
  <c r="J56" i="134"/>
  <c r="K56" i="134" s="1"/>
  <c r="J73" i="134"/>
  <c r="K73" i="134" s="1"/>
  <c r="L73" i="134"/>
  <c r="E91" i="112" s="1"/>
  <c r="J52" i="134"/>
  <c r="K52" i="134" s="1"/>
  <c r="L52" i="134"/>
  <c r="E70" i="112" s="1"/>
  <c r="AI110" i="134"/>
  <c r="J92" i="134"/>
  <c r="K92" i="134" s="1"/>
  <c r="AJ119" i="134"/>
  <c r="AI96" i="134"/>
  <c r="AI72" i="134"/>
  <c r="H68" i="134"/>
  <c r="L57" i="134"/>
  <c r="E75" i="112" s="1"/>
  <c r="AI52" i="134"/>
  <c r="AI88" i="134"/>
  <c r="J60" i="134"/>
  <c r="K60" i="134" s="1"/>
  <c r="J65" i="134"/>
  <c r="K65" i="134" s="1"/>
  <c r="L65" i="134"/>
  <c r="E83" i="112" s="1"/>
  <c r="J97" i="134"/>
  <c r="K97" i="134" s="1"/>
  <c r="L97" i="134"/>
  <c r="E115" i="112" s="1"/>
  <c r="J111" i="134"/>
  <c r="K111" i="134" s="1"/>
  <c r="L111" i="134"/>
  <c r="M111" i="134" s="1"/>
  <c r="J81" i="134"/>
  <c r="K81" i="134" s="1"/>
  <c r="L81" i="134"/>
  <c r="E99" i="112" s="1"/>
  <c r="H101" i="134"/>
  <c r="AI97" i="134"/>
  <c r="H93" i="134"/>
  <c r="H85" i="134"/>
  <c r="AI81" i="134"/>
  <c r="H77" i="134"/>
  <c r="AI65" i="134"/>
  <c r="H61" i="134"/>
  <c r="AI111" i="134"/>
  <c r="AI100" i="134"/>
  <c r="AI92" i="134"/>
  <c r="L88" i="134"/>
  <c r="E106" i="112" s="1"/>
  <c r="AI84" i="134"/>
  <c r="AI76" i="134"/>
  <c r="L72" i="134"/>
  <c r="E90" i="112" s="1"/>
  <c r="L69" i="134"/>
  <c r="E87" i="112" s="1"/>
  <c r="AI60" i="134"/>
  <c r="L56" i="134"/>
  <c r="E74" i="112" s="1"/>
  <c r="L51" i="134"/>
  <c r="E69" i="112" s="1"/>
  <c r="AO119" i="134"/>
  <c r="L110" i="134"/>
  <c r="M110" i="134" s="1"/>
  <c r="L106" i="134"/>
  <c r="M106" i="134" s="1"/>
  <c r="L112" i="134"/>
  <c r="M112" i="134" s="1"/>
  <c r="J112" i="134"/>
  <c r="K112" i="134" s="1"/>
  <c r="J113" i="134"/>
  <c r="K113" i="134" s="1"/>
  <c r="L113" i="134"/>
  <c r="M113" i="134" s="1"/>
  <c r="L108" i="134"/>
  <c r="M108" i="134" s="1"/>
  <c r="J108" i="134"/>
  <c r="K108" i="134" s="1"/>
  <c r="L109" i="134"/>
  <c r="M109" i="134" s="1"/>
  <c r="J109" i="134"/>
  <c r="K109" i="134" s="1"/>
  <c r="J105" i="134"/>
  <c r="K105" i="134" s="1"/>
  <c r="L105" i="134"/>
  <c r="M105" i="134" s="1"/>
  <c r="H102" i="134"/>
  <c r="AI102" i="134"/>
  <c r="H98" i="134"/>
  <c r="AI98" i="134"/>
  <c r="J87" i="134"/>
  <c r="K87" i="134" s="1"/>
  <c r="L87" i="134"/>
  <c r="E105" i="112" s="1"/>
  <c r="H86" i="134"/>
  <c r="AI86" i="134"/>
  <c r="J71" i="134"/>
  <c r="K71" i="134" s="1"/>
  <c r="L71" i="134"/>
  <c r="E89" i="112" s="1"/>
  <c r="H70" i="134"/>
  <c r="AI70" i="134"/>
  <c r="J55" i="134"/>
  <c r="K55" i="134" s="1"/>
  <c r="L55" i="134"/>
  <c r="E73" i="112" s="1"/>
  <c r="J50" i="134"/>
  <c r="K50" i="134" s="1"/>
  <c r="L50" i="134"/>
  <c r="E68" i="112" s="1"/>
  <c r="AU119" i="134"/>
  <c r="J104" i="134"/>
  <c r="K104" i="134" s="1"/>
  <c r="J100" i="134"/>
  <c r="K100" i="134" s="1"/>
  <c r="L84" i="134"/>
  <c r="E102" i="112" s="1"/>
  <c r="J83" i="134"/>
  <c r="K83" i="134" s="1"/>
  <c r="L83" i="134"/>
  <c r="E101" i="112" s="1"/>
  <c r="H82" i="134"/>
  <c r="AI82" i="134"/>
  <c r="J67" i="134"/>
  <c r="K67" i="134" s="1"/>
  <c r="L67" i="134"/>
  <c r="E85" i="112" s="1"/>
  <c r="H66" i="134"/>
  <c r="AI66" i="134"/>
  <c r="L49" i="134"/>
  <c r="E67" i="112" s="1"/>
  <c r="J49" i="134"/>
  <c r="K49" i="134" s="1"/>
  <c r="L107" i="134"/>
  <c r="M107" i="134" s="1"/>
  <c r="AI113" i="134"/>
  <c r="AI109" i="134"/>
  <c r="AI105" i="134"/>
  <c r="L96" i="134"/>
  <c r="E114" i="112" s="1"/>
  <c r="J95" i="134"/>
  <c r="K95" i="134" s="1"/>
  <c r="L95" i="134"/>
  <c r="E113" i="112" s="1"/>
  <c r="H94" i="134"/>
  <c r="AI94" i="134"/>
  <c r="L80" i="134"/>
  <c r="E98" i="112" s="1"/>
  <c r="J79" i="134"/>
  <c r="K79" i="134" s="1"/>
  <c r="L79" i="134"/>
  <c r="E97" i="112" s="1"/>
  <c r="H78" i="134"/>
  <c r="AI78" i="134"/>
  <c r="L64" i="134"/>
  <c r="E82" i="112" s="1"/>
  <c r="J63" i="134"/>
  <c r="K63" i="134" s="1"/>
  <c r="L63" i="134"/>
  <c r="E81" i="112" s="1"/>
  <c r="H62" i="134"/>
  <c r="AI62" i="134"/>
  <c r="AI112" i="134"/>
  <c r="AI108" i="134"/>
  <c r="L104" i="134"/>
  <c r="M104" i="134" s="1"/>
  <c r="H103" i="134"/>
  <c r="AI103" i="134"/>
  <c r="L100" i="134"/>
  <c r="E118" i="112" s="1"/>
  <c r="H99" i="134"/>
  <c r="AI99" i="134"/>
  <c r="L92" i="134"/>
  <c r="E110" i="112" s="1"/>
  <c r="J91" i="134"/>
  <c r="K91" i="134" s="1"/>
  <c r="L91" i="134"/>
  <c r="E109" i="112" s="1"/>
  <c r="H90" i="134"/>
  <c r="AI90" i="134"/>
  <c r="L76" i="134"/>
  <c r="E94" i="112" s="1"/>
  <c r="J75" i="134"/>
  <c r="K75" i="134" s="1"/>
  <c r="L75" i="134"/>
  <c r="E93" i="112" s="1"/>
  <c r="H74" i="134"/>
  <c r="AI74" i="134"/>
  <c r="L60" i="134"/>
  <c r="E78" i="112" s="1"/>
  <c r="J59" i="134"/>
  <c r="K59" i="134" s="1"/>
  <c r="L59" i="134"/>
  <c r="E77" i="112" s="1"/>
  <c r="H58" i="134"/>
  <c r="AI58" i="134"/>
  <c r="H53" i="134"/>
  <c r="AI53" i="134"/>
  <c r="AI95" i="134"/>
  <c r="AI91" i="134"/>
  <c r="AI87" i="134"/>
  <c r="AI83" i="134"/>
  <c r="AI79" i="134"/>
  <c r="AI75" i="134"/>
  <c r="AI71" i="134"/>
  <c r="AI67" i="134"/>
  <c r="AI63" i="134"/>
  <c r="AI59" i="134"/>
  <c r="AI55" i="134"/>
  <c r="H54" i="134"/>
  <c r="AI50" i="134"/>
  <c r="AR119" i="134"/>
  <c r="AQ119" i="134"/>
  <c r="AM119" i="134"/>
  <c r="AK119" i="134"/>
  <c r="AN119" i="134"/>
  <c r="AS119" i="134"/>
  <c r="AT119" i="134"/>
  <c r="AP119" i="134"/>
  <c r="AH27" i="134"/>
  <c r="AH28" i="134"/>
  <c r="I26" i="134"/>
  <c r="AH26" i="134"/>
  <c r="AH25" i="134"/>
  <c r="AH29" i="134"/>
  <c r="I43" i="134"/>
  <c r="I44" i="134"/>
  <c r="I45" i="134"/>
  <c r="I47" i="134"/>
  <c r="I48" i="134"/>
  <c r="M49" i="134" l="1"/>
  <c r="F67" i="112" s="1"/>
  <c r="M87" i="134"/>
  <c r="F105" i="112" s="1"/>
  <c r="M84" i="134"/>
  <c r="F102" i="112" s="1"/>
  <c r="M83" i="134"/>
  <c r="F101" i="112" s="1"/>
  <c r="M96" i="134"/>
  <c r="F114" i="112" s="1"/>
  <c r="M81" i="134"/>
  <c r="F99" i="112" s="1"/>
  <c r="M89" i="134"/>
  <c r="F107" i="112" s="1"/>
  <c r="M91" i="134"/>
  <c r="F109" i="112" s="1"/>
  <c r="M88" i="134"/>
  <c r="F106" i="112" s="1"/>
  <c r="M97" i="134"/>
  <c r="F115" i="112" s="1"/>
  <c r="M95" i="134"/>
  <c r="F113" i="112" s="1"/>
  <c r="M92" i="134"/>
  <c r="F110" i="112" s="1"/>
  <c r="M100" i="134"/>
  <c r="F118" i="112" s="1"/>
  <c r="M76" i="134"/>
  <c r="F94" i="112" s="1"/>
  <c r="M63" i="134"/>
  <c r="F81" i="112" s="1"/>
  <c r="M72" i="134"/>
  <c r="F90" i="112" s="1"/>
  <c r="M59" i="134"/>
  <c r="F77" i="112" s="1"/>
  <c r="M79" i="134"/>
  <c r="F97" i="112" s="1"/>
  <c r="M67" i="134"/>
  <c r="F85" i="112" s="1"/>
  <c r="M55" i="134"/>
  <c r="F73" i="112" s="1"/>
  <c r="M71" i="134"/>
  <c r="F89" i="112" s="1"/>
  <c r="M56" i="134"/>
  <c r="F74" i="112" s="1"/>
  <c r="M65" i="134"/>
  <c r="F83" i="112" s="1"/>
  <c r="M52" i="134"/>
  <c r="F70" i="112" s="1"/>
  <c r="M80" i="134"/>
  <c r="F98" i="112" s="1"/>
  <c r="M50" i="134"/>
  <c r="F68" i="112" s="1"/>
  <c r="M69" i="134"/>
  <c r="F87" i="112" s="1"/>
  <c r="M73" i="134"/>
  <c r="F91" i="112" s="1"/>
  <c r="M51" i="134"/>
  <c r="F69" i="112" s="1"/>
  <c r="M75" i="134"/>
  <c r="F93" i="112" s="1"/>
  <c r="M64" i="134"/>
  <c r="F82" i="112" s="1"/>
  <c r="M57" i="134"/>
  <c r="F75" i="112" s="1"/>
  <c r="M60" i="134"/>
  <c r="F78" i="112" s="1"/>
  <c r="J68" i="134"/>
  <c r="K68" i="134" s="1"/>
  <c r="L68" i="134"/>
  <c r="E86" i="112" s="1"/>
  <c r="J61" i="134"/>
  <c r="K61" i="134" s="1"/>
  <c r="L61" i="134"/>
  <c r="E79" i="112" s="1"/>
  <c r="J85" i="134"/>
  <c r="K85" i="134" s="1"/>
  <c r="L85" i="134"/>
  <c r="E103" i="112" s="1"/>
  <c r="J93" i="134"/>
  <c r="K93" i="134" s="1"/>
  <c r="L93" i="134"/>
  <c r="E111" i="112" s="1"/>
  <c r="J77" i="134"/>
  <c r="K77" i="134" s="1"/>
  <c r="L77" i="134"/>
  <c r="E95" i="112" s="1"/>
  <c r="J101" i="134"/>
  <c r="K101" i="134" s="1"/>
  <c r="L101" i="134"/>
  <c r="E119" i="112" s="1"/>
  <c r="J54" i="134"/>
  <c r="K54" i="134" s="1"/>
  <c r="L54" i="134"/>
  <c r="E72" i="112" s="1"/>
  <c r="L74" i="134"/>
  <c r="E92" i="112" s="1"/>
  <c r="J74" i="134"/>
  <c r="K74" i="134" s="1"/>
  <c r="L53" i="134"/>
  <c r="E71" i="112" s="1"/>
  <c r="J53" i="134"/>
  <c r="K53" i="134" s="1"/>
  <c r="L90" i="134"/>
  <c r="E108" i="112" s="1"/>
  <c r="J90" i="134"/>
  <c r="K90" i="134" s="1"/>
  <c r="L103" i="134"/>
  <c r="E121" i="112" s="1"/>
  <c r="J103" i="134"/>
  <c r="K103" i="134" s="1"/>
  <c r="L102" i="134"/>
  <c r="E120" i="112" s="1"/>
  <c r="J102" i="134"/>
  <c r="K102" i="134" s="1"/>
  <c r="L99" i="134"/>
  <c r="E117" i="112" s="1"/>
  <c r="J99" i="134"/>
  <c r="K99" i="134" s="1"/>
  <c r="L62" i="134"/>
  <c r="E80" i="112" s="1"/>
  <c r="J62" i="134"/>
  <c r="K62" i="134" s="1"/>
  <c r="L94" i="134"/>
  <c r="E112" i="112" s="1"/>
  <c r="J94" i="134"/>
  <c r="K94" i="134" s="1"/>
  <c r="L58" i="134"/>
  <c r="E76" i="112" s="1"/>
  <c r="J58" i="134"/>
  <c r="K58" i="134" s="1"/>
  <c r="L78" i="134"/>
  <c r="E96" i="112" s="1"/>
  <c r="J78" i="134"/>
  <c r="K78" i="134" s="1"/>
  <c r="L66" i="134"/>
  <c r="E84" i="112" s="1"/>
  <c r="J66" i="134"/>
  <c r="K66" i="134" s="1"/>
  <c r="L82" i="134"/>
  <c r="E100" i="112" s="1"/>
  <c r="J82" i="134"/>
  <c r="K82" i="134" s="1"/>
  <c r="L70" i="134"/>
  <c r="E88" i="112" s="1"/>
  <c r="J70" i="134"/>
  <c r="K70" i="134" s="1"/>
  <c r="L86" i="134"/>
  <c r="E104" i="112" s="1"/>
  <c r="J86" i="134"/>
  <c r="K86" i="134" s="1"/>
  <c r="L98" i="134"/>
  <c r="E116" i="112" s="1"/>
  <c r="J98" i="134"/>
  <c r="K98" i="134" s="1"/>
  <c r="AI29" i="134" a="1"/>
  <c r="AI29" i="134" s="1"/>
  <c r="AI27" i="134" a="1"/>
  <c r="AI27" i="134" s="1"/>
  <c r="H26" i="134"/>
  <c r="AI26" i="134" a="1"/>
  <c r="AI26" i="134" s="1"/>
  <c r="D41" i="11"/>
  <c r="D21" i="11"/>
  <c r="D19" i="11"/>
  <c r="D44" i="11"/>
  <c r="D35" i="11"/>
  <c r="D24" i="11"/>
  <c r="D4" i="11"/>
  <c r="D33" i="11"/>
  <c r="D40" i="11"/>
  <c r="D39" i="11"/>
  <c r="D42" i="11"/>
  <c r="D14" i="11"/>
  <c r="D13" i="11"/>
  <c r="D30" i="11"/>
  <c r="D18" i="11"/>
  <c r="D25" i="11"/>
  <c r="D16" i="11"/>
  <c r="D26" i="11"/>
  <c r="D15" i="11"/>
  <c r="D36" i="11"/>
  <c r="D34" i="11"/>
  <c r="D28" i="11"/>
  <c r="D8" i="11"/>
  <c r="D37" i="11"/>
  <c r="D7" i="11"/>
  <c r="D12" i="11"/>
  <c r="D11" i="11"/>
  <c r="D10" i="11"/>
  <c r="D5" i="11"/>
  <c r="D20" i="11"/>
  <c r="D6" i="11"/>
  <c r="D29" i="11"/>
  <c r="D31" i="11"/>
  <c r="D9" i="11"/>
  <c r="D17" i="11"/>
  <c r="C21" i="11"/>
  <c r="C19" i="11"/>
  <c r="C44" i="11"/>
  <c r="C35" i="11"/>
  <c r="C24" i="11"/>
  <c r="C4" i="11"/>
  <c r="C33" i="11"/>
  <c r="C43" i="11"/>
  <c r="C23" i="11"/>
  <c r="C40" i="11"/>
  <c r="C39" i="11"/>
  <c r="C42" i="11"/>
  <c r="C14" i="11"/>
  <c r="C13" i="11"/>
  <c r="C30" i="11"/>
  <c r="C18" i="11"/>
  <c r="C25" i="11"/>
  <c r="C27" i="11"/>
  <c r="C16" i="11"/>
  <c r="C26" i="11"/>
  <c r="C15" i="11"/>
  <c r="C36" i="11"/>
  <c r="C34" i="11"/>
  <c r="C28" i="11"/>
  <c r="C8" i="11"/>
  <c r="C37" i="11"/>
  <c r="C7" i="11"/>
  <c r="C12" i="11"/>
  <c r="C11" i="11"/>
  <c r="C10" i="11"/>
  <c r="C5" i="11"/>
  <c r="C20" i="11"/>
  <c r="C6" i="11"/>
  <c r="C29" i="11"/>
  <c r="C31" i="11"/>
  <c r="C9" i="11"/>
  <c r="C17" i="11"/>
  <c r="J12" i="134"/>
  <c r="J13" i="134"/>
  <c r="L13" i="134" s="1"/>
  <c r="J14" i="134"/>
  <c r="L14" i="134" s="1"/>
  <c r="J15" i="134"/>
  <c r="L15" i="134" s="1"/>
  <c r="J16" i="134"/>
  <c r="L16" i="134" s="1"/>
  <c r="J17" i="134"/>
  <c r="L17" i="134" s="1"/>
  <c r="J18" i="134"/>
  <c r="L18" i="134" s="1"/>
  <c r="J19" i="134"/>
  <c r="L19" i="134" s="1"/>
  <c r="J20" i="134"/>
  <c r="L20" i="134" s="1"/>
  <c r="J21" i="134"/>
  <c r="L21" i="134" s="1"/>
  <c r="J22" i="134"/>
  <c r="L22" i="134" s="1"/>
  <c r="J23" i="134"/>
  <c r="L23" i="134" s="1"/>
  <c r="I12" i="134"/>
  <c r="I11" i="134"/>
  <c r="I13" i="134"/>
  <c r="I14" i="134"/>
  <c r="I15" i="134"/>
  <c r="I16" i="134"/>
  <c r="I17" i="134"/>
  <c r="I18" i="134"/>
  <c r="I19" i="134"/>
  <c r="I20" i="134"/>
  <c r="I21" i="134"/>
  <c r="I22" i="134"/>
  <c r="I23" i="134"/>
  <c r="F23" i="134"/>
  <c r="F22" i="134"/>
  <c r="F21" i="134"/>
  <c r="F20" i="134"/>
  <c r="F19" i="134"/>
  <c r="F18" i="134"/>
  <c r="F17" i="134"/>
  <c r="F16" i="134"/>
  <c r="F15" i="134"/>
  <c r="F14" i="134"/>
  <c r="F13" i="134"/>
  <c r="F12" i="134"/>
  <c r="C31" i="112" s="1"/>
  <c r="F11" i="134"/>
  <c r="M94" i="134" l="1"/>
  <c r="F112" i="112" s="1"/>
  <c r="M101" i="134"/>
  <c r="F119" i="112" s="1"/>
  <c r="M86" i="134"/>
  <c r="F104" i="112" s="1"/>
  <c r="M99" i="134"/>
  <c r="F117" i="112" s="1"/>
  <c r="M93" i="134"/>
  <c r="F111" i="112" s="1"/>
  <c r="M90" i="134"/>
  <c r="F108" i="112" s="1"/>
  <c r="M102" i="134"/>
  <c r="F120" i="112" s="1"/>
  <c r="M98" i="134"/>
  <c r="F116" i="112" s="1"/>
  <c r="M85" i="134"/>
  <c r="F103" i="112" s="1"/>
  <c r="M82" i="134"/>
  <c r="F100" i="112" s="1"/>
  <c r="M103" i="134"/>
  <c r="F121" i="112" s="1"/>
  <c r="M58" i="134"/>
  <c r="F76" i="112" s="1"/>
  <c r="M62" i="134"/>
  <c r="F80" i="112" s="1"/>
  <c r="M54" i="134"/>
  <c r="F72" i="112" s="1"/>
  <c r="M77" i="134"/>
  <c r="F95" i="112" s="1"/>
  <c r="M68" i="134"/>
  <c r="F86" i="112" s="1"/>
  <c r="M78" i="134"/>
  <c r="F96" i="112" s="1"/>
  <c r="M53" i="134"/>
  <c r="F71" i="112" s="1"/>
  <c r="M70" i="134"/>
  <c r="F88" i="112" s="1"/>
  <c r="M66" i="134"/>
  <c r="F84" i="112" s="1"/>
  <c r="M74" i="134"/>
  <c r="F92" i="112" s="1"/>
  <c r="M61" i="134"/>
  <c r="F79" i="112" s="1"/>
  <c r="L26" i="134"/>
  <c r="J26" i="134"/>
  <c r="K26" i="134" s="1"/>
  <c r="K19" i="134"/>
  <c r="M19" i="134" s="1"/>
  <c r="F38" i="112" s="1"/>
  <c r="K20" i="134"/>
  <c r="M20" i="134" s="1"/>
  <c r="F39" i="112" s="1"/>
  <c r="K12" i="134"/>
  <c r="K21" i="134"/>
  <c r="M21" i="134" s="1"/>
  <c r="K15" i="134"/>
  <c r="M15" i="134" s="1"/>
  <c r="F34" i="112" s="1"/>
  <c r="K17" i="134"/>
  <c r="M17" i="134" s="1"/>
  <c r="F36" i="112" s="1"/>
  <c r="L12" i="134"/>
  <c r="K14" i="134"/>
  <c r="M14" i="134" s="1"/>
  <c r="F33" i="112" s="1"/>
  <c r="K22" i="134"/>
  <c r="M22" i="134" s="1"/>
  <c r="K16" i="134"/>
  <c r="M16" i="134" s="1"/>
  <c r="K18" i="134"/>
  <c r="M18" i="134" s="1"/>
  <c r="F37" i="112" s="1"/>
  <c r="K23" i="134"/>
  <c r="M23" i="134" s="1"/>
  <c r="K13" i="134"/>
  <c r="M13" i="134" s="1"/>
  <c r="F32" i="112" s="1"/>
  <c r="K11" i="134"/>
  <c r="C32" i="112"/>
  <c r="C33" i="112"/>
  <c r="C34" i="112"/>
  <c r="C35" i="112"/>
  <c r="C36" i="112"/>
  <c r="C37" i="112"/>
  <c r="C38" i="112"/>
  <c r="C39" i="112"/>
  <c r="B31" i="112"/>
  <c r="D31" i="112"/>
  <c r="B32" i="112"/>
  <c r="D32" i="112"/>
  <c r="B33" i="112"/>
  <c r="D33" i="112"/>
  <c r="B34" i="112"/>
  <c r="D34" i="112"/>
  <c r="B35" i="112"/>
  <c r="D35" i="112"/>
  <c r="B36" i="112"/>
  <c r="D36" i="112"/>
  <c r="B37" i="112"/>
  <c r="D37" i="112"/>
  <c r="B38" i="112"/>
  <c r="D38" i="112"/>
  <c r="B39" i="112"/>
  <c r="D39" i="112"/>
  <c r="D30" i="112"/>
  <c r="C30" i="112"/>
  <c r="B30" i="112"/>
  <c r="M26" i="134" l="1"/>
  <c r="M12" i="134"/>
  <c r="F31" i="112" s="1"/>
  <c r="E31" i="112" s="1"/>
  <c r="E37" i="112"/>
  <c r="E35" i="112"/>
  <c r="E36" i="112"/>
  <c r="E39" i="112"/>
  <c r="E34" i="112"/>
  <c r="E38" i="112"/>
  <c r="E33" i="112"/>
  <c r="AI30" i="134" l="1" a="1"/>
  <c r="AI30" i="134" s="1"/>
  <c r="AI41" i="134" l="1" a="1"/>
  <c r="AI41" i="134" s="1"/>
  <c r="E49" i="112"/>
  <c r="AI31" i="134" a="1"/>
  <c r="AI31" i="134" s="1"/>
  <c r="H44" i="134"/>
  <c r="L44" i="134" s="1"/>
  <c r="E62" i="112" s="1"/>
  <c r="AI44" i="134" a="1"/>
  <c r="AI44" i="134" s="1"/>
  <c r="AI40" i="134" a="1"/>
  <c r="AI40" i="134" s="1"/>
  <c r="AI34" i="134" a="1"/>
  <c r="AI34" i="134" s="1"/>
  <c r="H47" i="134"/>
  <c r="L47" i="134" s="1"/>
  <c r="E65" i="112" s="1"/>
  <c r="AI47" i="134" a="1"/>
  <c r="AI47" i="134" s="1"/>
  <c r="AI42" i="134" a="1"/>
  <c r="AI42" i="134" s="1"/>
  <c r="AI36" i="134" a="1"/>
  <c r="AI36" i="134" s="1"/>
  <c r="AI32" i="134" a="1"/>
  <c r="AI32" i="134" s="1"/>
  <c r="H45" i="134"/>
  <c r="J45" i="134" s="1"/>
  <c r="K45" i="134" s="1"/>
  <c r="AI45" i="134" a="1"/>
  <c r="AI45" i="134" s="1"/>
  <c r="AI35" i="134" a="1"/>
  <c r="AI35" i="134" s="1"/>
  <c r="H48" i="134"/>
  <c r="J48" i="134" s="1"/>
  <c r="K48" i="134" s="1"/>
  <c r="AI48" i="134" a="1"/>
  <c r="AI48" i="134" s="1"/>
  <c r="H43" i="134"/>
  <c r="L43" i="134" s="1"/>
  <c r="E61" i="112" s="1"/>
  <c r="AI43" i="134" a="1"/>
  <c r="AI43" i="134" s="1"/>
  <c r="AI37" i="134" a="1"/>
  <c r="AI37" i="134" s="1"/>
  <c r="AI33" i="134" a="1"/>
  <c r="AI33" i="134" s="1"/>
  <c r="L45" i="134" l="1"/>
  <c r="E63" i="112" s="1"/>
  <c r="M47" i="134"/>
  <c r="F65" i="112" s="1"/>
  <c r="M44" i="134"/>
  <c r="F62" i="112" s="1"/>
  <c r="M43" i="134"/>
  <c r="J44" i="134"/>
  <c r="K44" i="134" s="1"/>
  <c r="J47" i="134"/>
  <c r="K47" i="134" s="1"/>
  <c r="L48" i="134"/>
  <c r="E66" i="112" s="1"/>
  <c r="J43" i="134"/>
  <c r="K43" i="134" s="1"/>
  <c r="F49" i="112"/>
  <c r="F50" i="112"/>
  <c r="F61" i="112" l="1"/>
  <c r="M45" i="134"/>
  <c r="F63" i="112" s="1"/>
  <c r="M48" i="134"/>
  <c r="F66" i="112" s="1"/>
  <c r="F51" i="112"/>
  <c r="D3" i="134"/>
  <c r="D2" i="134"/>
  <c r="AH44" i="134" l="1"/>
  <c r="AH43" i="134"/>
  <c r="AH42" i="134"/>
  <c r="AH41" i="134"/>
  <c r="AH33" i="134"/>
  <c r="AH32" i="134"/>
  <c r="AH31" i="134"/>
  <c r="AH48" i="134"/>
  <c r="AH47" i="134"/>
  <c r="AH45" i="134"/>
  <c r="M127" i="134"/>
  <c r="M139" i="134" s="1"/>
  <c r="P119" i="134"/>
  <c r="AH30" i="134"/>
  <c r="AI8" i="134" l="1"/>
  <c r="AI121" i="134" s="1"/>
  <c r="AH10" i="134"/>
  <c r="O121" i="134"/>
  <c r="P121" i="134"/>
  <c r="Q121" i="134"/>
  <c r="S121" i="134"/>
  <c r="T121" i="134"/>
  <c r="U121" i="134"/>
  <c r="V121" i="134"/>
  <c r="W121" i="134"/>
  <c r="X121" i="134"/>
  <c r="Y121" i="134"/>
  <c r="Z121" i="134"/>
  <c r="AA121" i="134"/>
  <c r="AH121" i="134"/>
  <c r="V119" i="134" l="1"/>
  <c r="X119" i="134"/>
  <c r="Z119" i="134"/>
  <c r="Q119" i="134"/>
  <c r="W119" i="134"/>
  <c r="Y119" i="134"/>
  <c r="AA119" i="134"/>
  <c r="U119" i="134"/>
  <c r="T119" i="134"/>
  <c r="M124" i="134"/>
  <c r="M136" i="134" s="1"/>
  <c r="S119" i="134"/>
  <c r="M125" i="134" l="1"/>
  <c r="M137" i="134" s="1"/>
  <c r="E32" i="112" l="1"/>
  <c r="C46" i="11"/>
  <c r="C47" i="11" s="1"/>
  <c r="AI28" i="134" l="1" a="1"/>
  <c r="AI28" i="134" s="1"/>
  <c r="AI119" i="134" s="1"/>
  <c r="O119" i="134" s="1"/>
  <c r="M123" i="134" s="1"/>
  <c r="M134" i="134" s="1"/>
  <c r="M135" i="134" s="1"/>
  <c r="E46" i="112" l="1"/>
  <c r="F46" i="112" l="1"/>
  <c r="AL27" i="134" l="1"/>
  <c r="AL119" i="134" s="1"/>
  <c r="M128" i="134" s="1"/>
  <c r="M140" i="134" s="1"/>
  <c r="L27" i="134"/>
  <c r="E45" i="112" s="1"/>
  <c r="M27" i="134" l="1"/>
  <c r="R119" i="134"/>
  <c r="K114" i="134" l="1"/>
  <c r="F45" i="112"/>
  <c r="F41" i="112" s="1"/>
  <c r="J11" i="134" l="1"/>
  <c r="L11" i="134" s="1"/>
  <c r="M11" i="134" s="1"/>
  <c r="D46" i="11"/>
  <c r="C48" i="11" s="1"/>
  <c r="C49" i="11" s="1"/>
  <c r="M115" i="134" l="1"/>
  <c r="K24" i="134"/>
  <c r="F30" i="112"/>
  <c r="E30" i="112" l="1"/>
  <c r="F27" i="112"/>
  <c r="F124" i="112" s="1"/>
  <c r="F126" i="112" s="1"/>
  <c r="F127" i="112" s="1"/>
  <c r="F129" i="112" s="1"/>
  <c r="M126" i="134"/>
  <c r="M129" i="134" s="1"/>
  <c r="M131" i="134" s="1"/>
  <c r="M138" i="134"/>
  <c r="M141" i="134" s="1"/>
  <c r="M130" i="1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<sst xmlns="http://schemas.openxmlformats.org/spreadsheetml/2006/main" count="193" uniqueCount="145">
  <si>
    <t>Please choose document type</t>
  </si>
  <si>
    <t>QUOTATION</t>
  </si>
  <si>
    <t>ESTIMATE</t>
  </si>
  <si>
    <t>VARIATION</t>
  </si>
  <si>
    <t>FINAL ACCOUNT</t>
  </si>
  <si>
    <t>Description of Works</t>
  </si>
  <si>
    <t>PRELIMS VALUE EXCLUSIVE OF V.A.T</t>
  </si>
  <si>
    <t>PRELIMS</t>
  </si>
  <si>
    <t>Quant</t>
  </si>
  <si>
    <t>Unit</t>
  </si>
  <si>
    <t>Rate</t>
  </si>
  <si>
    <t>Total</t>
  </si>
  <si>
    <t>MAIN CONTRACT WORKS COST BREAKDOWN</t>
  </si>
  <si>
    <t>MAIN CONTRACT TOTAL VALUE EXCLUSIVE OF V.A.T</t>
  </si>
  <si>
    <t>DATA INPUT COLUMNS</t>
  </si>
  <si>
    <t>PROJECT</t>
  </si>
  <si>
    <t xml:space="preserve">Mark up </t>
  </si>
  <si>
    <t>Plant</t>
  </si>
  <si>
    <t>DATE</t>
  </si>
  <si>
    <t>Labour</t>
  </si>
  <si>
    <t xml:space="preserve"> UNIT RATES </t>
  </si>
  <si>
    <t xml:space="preserve">  UNIT TOTALS  </t>
  </si>
  <si>
    <t>Provisional</t>
  </si>
  <si>
    <t>Materials</t>
  </si>
  <si>
    <t>LABOUR</t>
  </si>
  <si>
    <t>PSUM</t>
  </si>
  <si>
    <t>MATERIALS &amp; SUBCONTRACTORS</t>
  </si>
  <si>
    <t>Subcon</t>
  </si>
  <si>
    <t>Prelims</t>
  </si>
  <si>
    <t>AREA</t>
  </si>
  <si>
    <t>SOW</t>
  </si>
  <si>
    <t>Labour Hours</t>
  </si>
  <si>
    <t>Sub Con</t>
  </si>
  <si>
    <t>Psum</t>
  </si>
  <si>
    <t xml:space="preserve">Materials   </t>
  </si>
  <si>
    <t>Materails</t>
  </si>
  <si>
    <t>ITEM</t>
  </si>
  <si>
    <t>PRELIMINARIES</t>
  </si>
  <si>
    <t>DURATION</t>
  </si>
  <si>
    <t>UNIT</t>
  </si>
  <si>
    <t>TIME RELATED</t>
  </si>
  <si>
    <t>FIXED</t>
  </si>
  <si>
    <t>TIME RELATED TOTAL</t>
  </si>
  <si>
    <t>FIXED TOTAL</t>
  </si>
  <si>
    <t>SELLING COST</t>
  </si>
  <si>
    <t>m²</t>
  </si>
  <si>
    <t>Management</t>
  </si>
  <si>
    <t>m³</t>
  </si>
  <si>
    <t>Segregation</t>
  </si>
  <si>
    <t>lm</t>
  </si>
  <si>
    <t>Waste management</t>
  </si>
  <si>
    <t>Hrs</t>
  </si>
  <si>
    <t>Access</t>
  </si>
  <si>
    <t>Nr</t>
  </si>
  <si>
    <t>Item</t>
  </si>
  <si>
    <t>Wks</t>
  </si>
  <si>
    <t>UNHIDE ROWS WHERE REQUIRED PLEASE</t>
  </si>
  <si>
    <t>SUB TOTAL</t>
  </si>
  <si>
    <t>DESCRIPTION</t>
  </si>
  <si>
    <t>WORKINGS</t>
  </si>
  <si>
    <t>QUANT</t>
  </si>
  <si>
    <t>Labour rate</t>
  </si>
  <si>
    <t>Material rate</t>
  </si>
  <si>
    <t>TOTAL RATE</t>
  </si>
  <si>
    <t>TOTAL COST</t>
  </si>
  <si>
    <t>SELLING RATE</t>
  </si>
  <si>
    <t>TOTAL</t>
  </si>
  <si>
    <t>TOTAL PROJECT INDIVIDUAL LABOUR &amp; MATERIAL  COST</t>
  </si>
  <si>
    <t>GND</t>
  </si>
  <si>
    <t>COST &amp; PROFIT INFORMATION</t>
  </si>
  <si>
    <t>SUBBIE</t>
  </si>
  <si>
    <t>MATERIALS</t>
  </si>
  <si>
    <t>PLANT</t>
  </si>
  <si>
    <t>TOTAL VALUE</t>
  </si>
  <si>
    <t>PROFIT</t>
  </si>
  <si>
    <t>SELL INFORMATION</t>
  </si>
  <si>
    <t>HOURS</t>
  </si>
  <si>
    <t xml:space="preserve">  PROJECT:</t>
  </si>
  <si>
    <t xml:space="preserve">ENQUIRY No:E </t>
  </si>
  <si>
    <t>Preliminaries</t>
  </si>
  <si>
    <t>Time Related</t>
  </si>
  <si>
    <t>Fixed</t>
  </si>
  <si>
    <t>Comments</t>
  </si>
  <si>
    <t>Access Design</t>
  </si>
  <si>
    <t>Air Testing</t>
  </si>
  <si>
    <t>As Built Drawings</t>
  </si>
  <si>
    <t>BREEAM</t>
  </si>
  <si>
    <t>Building Regulations</t>
  </si>
  <si>
    <t>Clean</t>
  </si>
  <si>
    <t>Concrete Testing</t>
  </si>
  <si>
    <t>Condition Survey</t>
  </si>
  <si>
    <t>Considerate Constructor's Scheme</t>
  </si>
  <si>
    <t>Contractors Risk</t>
  </si>
  <si>
    <t>Existing Services &amp; Supplies</t>
  </si>
  <si>
    <t>Fire Precautions</t>
  </si>
  <si>
    <t>Health &amp; Safety</t>
  </si>
  <si>
    <t>Hoist or telehandler etc</t>
  </si>
  <si>
    <t>Insurances</t>
  </si>
  <si>
    <t>Lighting and power</t>
  </si>
  <si>
    <t>Maintenance Manuals</t>
  </si>
  <si>
    <t>Make good on completion</t>
  </si>
  <si>
    <t xml:space="preserve">Mobilisation / Lead in time </t>
  </si>
  <si>
    <t>Name board</t>
  </si>
  <si>
    <t>Parking</t>
  </si>
  <si>
    <t>Personal protective equip</t>
  </si>
  <si>
    <t>Professional Fees</t>
  </si>
  <si>
    <t>Protection</t>
  </si>
  <si>
    <t>Risk Factor</t>
  </si>
  <si>
    <t>Rubbish Removal</t>
  </si>
  <si>
    <t>Site Constraints</t>
  </si>
  <si>
    <t>Site Security</t>
  </si>
  <si>
    <t>Skip</t>
  </si>
  <si>
    <t>Stability of Adjacent Work</t>
  </si>
  <si>
    <t>Statutory fees and licenses</t>
  </si>
  <si>
    <t>Storage Facilities</t>
  </si>
  <si>
    <t xml:space="preserve">Supervision - Contracts Manager </t>
  </si>
  <si>
    <t>Supervision - Site Supervisor</t>
  </si>
  <si>
    <t>SWMMP</t>
  </si>
  <si>
    <t xml:space="preserve">Temporary Works </t>
  </si>
  <si>
    <t>Waste Management</t>
  </si>
  <si>
    <t xml:space="preserve">Water </t>
  </si>
  <si>
    <t>Welfare Facilities</t>
  </si>
  <si>
    <t>X Contract Duration</t>
  </si>
  <si>
    <t>Sub Total</t>
  </si>
  <si>
    <t>Fixed Preliminaries</t>
  </si>
  <si>
    <t>TOTAL £</t>
  </si>
  <si>
    <t>WORKS</t>
  </si>
  <si>
    <t>MAIN CONTRACT WORKS EXCLUSIVE OF V.A.T</t>
  </si>
  <si>
    <t>PO No.</t>
  </si>
  <si>
    <t>INVOICE No.</t>
  </si>
  <si>
    <t>SUBTOTAL</t>
  </si>
  <si>
    <t>VAT</t>
  </si>
  <si>
    <t>TOTAL DUE</t>
  </si>
  <si>
    <t>Payment to be made within 14 days of invoice date.</t>
  </si>
  <si>
    <t xml:space="preserve">Bank: </t>
  </si>
  <si>
    <t>Starling Bank</t>
  </si>
  <si>
    <t>Account name:</t>
  </si>
  <si>
    <t>ConstructFM Ltd</t>
  </si>
  <si>
    <t>Sort Code:</t>
  </si>
  <si>
    <t>60-83-71</t>
  </si>
  <si>
    <t>Account Number:</t>
  </si>
  <si>
    <t>VAT Number:</t>
  </si>
  <si>
    <t>INVOICE</t>
  </si>
  <si>
    <t>Client</t>
  </si>
  <si>
    <t>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</si>
</sst>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General&quot; m2&quot;"/>
    <numFmt numFmtId="167" formatCode="[$-F800]dddd\,\ mmmm\ dd\,\ yyyy"/>
    <numFmt numFmtId="168" formatCode="&quot;£&quot;#,##0&quot; /m2&quot;"/>
    <numFmt numFmtId="169" formatCode="&quot;£&quot;0,000&quot; /wk&quot;"/>
    <numFmt numFmtId="170" formatCode="&quot;£&quot;#,##0.00"/>
    <numFmt numFmtId="171" formatCode="_-[$£-809]* #,##0.00_-;\-[$£-809]* #,##0.00_-;_-[$£-809]* &quot;-&quot;??_-;_-@_-"/>
  </numFmts>
  <fonts count="2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2"/>
      <name val="Arial"/>
      <family val="2"/>
    </font>
    <font>
      <sz val="10"/>
      <color theme="3" tint="0.39997558519241921"/>
      <name val="Arial"/>
      <family val="2"/>
    </font>
    <font>
      <b/>
      <u/>
      <sz val="8"/>
      <name val="Arial"/>
      <family val="2"/>
    </font>
    <font>
      <b/>
      <u/>
      <sz val="10"/>
      <name val="Arial"/>
      <family val="2"/>
    </font>
    <font>
      <sz val="10"/>
      <color theme="1"/>
      <name val="Tahoma"/>
      <family val="2"/>
    </font>
    <font>
      <b/>
      <sz val="8"/>
      <color theme="0"/>
      <name val="Arial"/>
      <family val="2"/>
    </font>
    <font>
      <b/>
      <sz val="8"/>
      <color theme="0"/>
      <name val="Tahoma"/>
      <family val="2"/>
    </font>
    <font>
      <sz val="8"/>
      <color theme="0"/>
      <name val="Tahoma"/>
      <family val="2"/>
    </font>
    <font>
      <b/>
      <sz val="12"/>
      <color theme="0"/>
      <name val="Arial"/>
      <family val="2"/>
    </font>
    <font>
      <b/>
      <sz val="7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8"/>
      <color theme="0"/>
      <name val="Arial"/>
      <family val="2"/>
    </font>
    <font>
      <sz val="8"/>
      <color theme="0"/>
      <name val="Arial"/>
      <family val="2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EB634"/>
        <bgColor indexed="64"/>
      </patternFill>
    </fill>
    <fill>
      <patternFill patternType="solid">
        <fgColor rgb="FFFA4638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/>
  </cellStyleXfs>
  <cellXfs count="296">
    <xf numFmtId="0" fontId="0" fillId="0" borderId="0" xfId="0"/>
    <xf numFmtId="0" fontId="2" fillId="0" borderId="0" xfId="0" applyFont="1" applyAlignment="1">
      <alignment horizontal="center"/>
    </xf>
    <xf numFmtId="0" fontId="2" fillId="0" borderId="5" xfId="0" applyFont="1" applyBorder="1"/>
    <xf numFmtId="0" fontId="2" fillId="0" borderId="3" xfId="0" applyFont="1" applyBorder="1" applyAlignment="1">
      <alignment horizontal="right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2" fontId="7" fillId="0" borderId="9" xfId="0" applyNumberFormat="1" applyFont="1" applyBorder="1"/>
    <xf numFmtId="4" fontId="6" fillId="0" borderId="0" xfId="0" applyNumberFormat="1" applyFont="1"/>
    <xf numFmtId="4" fontId="9" fillId="0" borderId="0" xfId="0" applyNumberFormat="1" applyFont="1"/>
    <xf numFmtId="0" fontId="8" fillId="0" borderId="0" xfId="0" applyFont="1"/>
    <xf numFmtId="4" fontId="3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4" fontId="9" fillId="0" borderId="24" xfId="0" applyNumberFormat="1" applyFont="1" applyBorder="1"/>
    <xf numFmtId="4" fontId="6" fillId="0" borderId="24" xfId="0" applyNumberFormat="1" applyFont="1" applyBorder="1"/>
    <xf numFmtId="4" fontId="9" fillId="0" borderId="28" xfId="0" applyNumberFormat="1" applyFont="1" applyBorder="1"/>
    <xf numFmtId="2" fontId="8" fillId="0" borderId="0" xfId="0" applyNumberFormat="1" applyFont="1" applyAlignment="1">
      <alignment horizontal="center"/>
    </xf>
    <xf numFmtId="4" fontId="6" fillId="0" borderId="30" xfId="0" applyNumberFormat="1" applyFont="1" applyBorder="1"/>
    <xf numFmtId="4" fontId="9" fillId="0" borderId="31" xfId="0" applyNumberFormat="1" applyFont="1" applyBorder="1"/>
    <xf numFmtId="0" fontId="1" fillId="0" borderId="25" xfId="0" applyFont="1" applyBorder="1"/>
    <xf numFmtId="0" fontId="6" fillId="0" borderId="0" xfId="0" applyFont="1" applyAlignment="1">
      <alignment horizontal="left" vertical="top"/>
    </xf>
    <xf numFmtId="165" fontId="3" fillId="0" borderId="0" xfId="1" applyFont="1" applyBorder="1" applyAlignment="1">
      <alignment horizontal="center" vertical="top"/>
    </xf>
    <xf numFmtId="165" fontId="5" fillId="0" borderId="0" xfId="0" applyNumberFormat="1" applyFont="1" applyAlignment="1">
      <alignment vertical="top"/>
    </xf>
    <xf numFmtId="165" fontId="6" fillId="3" borderId="0" xfId="0" applyNumberFormat="1" applyFont="1" applyFill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165" fontId="4" fillId="0" borderId="22" xfId="0" applyNumberFormat="1" applyFont="1" applyBorder="1" applyAlignment="1">
      <alignment horizontal="centerContinuous" vertical="top"/>
    </xf>
    <xf numFmtId="165" fontId="3" fillId="3" borderId="0" xfId="0" applyNumberFormat="1" applyFont="1" applyFill="1" applyAlignment="1">
      <alignment horizontal="center" vertical="top"/>
    </xf>
    <xf numFmtId="165" fontId="4" fillId="0" borderId="8" xfId="0" applyNumberFormat="1" applyFont="1" applyBorder="1" applyAlignment="1">
      <alignment horizontal="centerContinuous" vertical="top"/>
    </xf>
    <xf numFmtId="165" fontId="4" fillId="0" borderId="7" xfId="0" applyNumberFormat="1" applyFont="1" applyBorder="1" applyAlignment="1">
      <alignment horizontal="centerContinuous" vertical="top"/>
    </xf>
    <xf numFmtId="0" fontId="3" fillId="0" borderId="15" xfId="0" applyFont="1" applyBorder="1" applyAlignment="1">
      <alignment horizontal="center" vertical="top"/>
    </xf>
    <xf numFmtId="1" fontId="3" fillId="2" borderId="12" xfId="0" applyNumberFormat="1" applyFont="1" applyFill="1" applyBorder="1" applyAlignment="1">
      <alignment horizontal="center" vertical="top" wrapText="1"/>
    </xf>
    <xf numFmtId="1" fontId="3" fillId="3" borderId="0" xfId="0" applyNumberFormat="1" applyFont="1" applyFill="1" applyAlignment="1">
      <alignment horizontal="center" vertical="top" wrapText="1"/>
    </xf>
    <xf numFmtId="1" fontId="3" fillId="0" borderId="10" xfId="0" applyNumberFormat="1" applyFont="1" applyBorder="1" applyAlignment="1">
      <alignment horizontal="center" vertical="top" wrapText="1"/>
    </xf>
    <xf numFmtId="1" fontId="4" fillId="0" borderId="8" xfId="0" applyNumberFormat="1" applyFont="1" applyBorder="1" applyAlignment="1">
      <alignment horizontal="center" vertical="top" wrapText="1"/>
    </xf>
    <xf numFmtId="1" fontId="4" fillId="0" borderId="7" xfId="0" applyNumberFormat="1" applyFont="1" applyBorder="1" applyAlignment="1">
      <alignment horizontal="center" vertical="top" wrapText="1"/>
    </xf>
    <xf numFmtId="1" fontId="4" fillId="0" borderId="1" xfId="0" applyNumberFormat="1" applyFont="1" applyBorder="1" applyAlignment="1">
      <alignment horizontal="center" vertical="top" wrapText="1"/>
    </xf>
    <xf numFmtId="1" fontId="2" fillId="0" borderId="0" xfId="0" applyNumberFormat="1" applyFont="1" applyAlignment="1">
      <alignment horizontal="center" vertical="top" wrapText="1"/>
    </xf>
    <xf numFmtId="1" fontId="3" fillId="2" borderId="15" xfId="0" applyNumberFormat="1" applyFont="1" applyFill="1" applyBorder="1" applyAlignment="1">
      <alignment horizontal="center" vertical="top" wrapText="1"/>
    </xf>
    <xf numFmtId="1" fontId="4" fillId="0" borderId="0" xfId="0" applyNumberFormat="1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 wrapText="1"/>
    </xf>
    <xf numFmtId="165" fontId="9" fillId="0" borderId="0" xfId="0" applyNumberFormat="1" applyFont="1" applyAlignment="1">
      <alignment vertical="top"/>
    </xf>
    <xf numFmtId="0" fontId="3" fillId="0" borderId="2" xfId="0" applyFont="1" applyBorder="1" applyAlignment="1">
      <alignment horizontal="center" vertical="top"/>
    </xf>
    <xf numFmtId="165" fontId="3" fillId="0" borderId="0" xfId="1" applyFont="1" applyFill="1" applyBorder="1" applyAlignment="1">
      <alignment horizontal="center" vertical="top"/>
    </xf>
    <xf numFmtId="0" fontId="3" fillId="0" borderId="17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left" vertical="top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1" applyFont="1" applyFill="1" applyBorder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43" fontId="3" fillId="0" borderId="13" xfId="1" applyNumberFormat="1" applyFont="1" applyBorder="1" applyAlignment="1">
      <alignment horizontal="center" vertical="top"/>
    </xf>
    <xf numFmtId="165" fontId="3" fillId="0" borderId="1" xfId="1" applyFont="1" applyBorder="1" applyAlignment="1">
      <alignment horizontal="center" vertical="top"/>
    </xf>
    <xf numFmtId="165" fontId="3" fillId="0" borderId="10" xfId="0" applyNumberFormat="1" applyFont="1" applyBorder="1" applyAlignment="1">
      <alignment horizontal="center" vertical="top"/>
    </xf>
    <xf numFmtId="0" fontId="7" fillId="2" borderId="15" xfId="0" applyFont="1" applyFill="1" applyBorder="1" applyAlignment="1">
      <alignment horizontal="center" vertical="top"/>
    </xf>
    <xf numFmtId="165" fontId="3" fillId="0" borderId="10" xfId="1" applyFont="1" applyFill="1" applyBorder="1" applyAlignment="1">
      <alignment horizontal="center" vertical="top"/>
    </xf>
    <xf numFmtId="165" fontId="3" fillId="0" borderId="0" xfId="1" applyFont="1" applyAlignment="1">
      <alignment horizontal="center" vertical="top"/>
    </xf>
    <xf numFmtId="165" fontId="6" fillId="0" borderId="6" xfId="0" applyNumberFormat="1" applyFont="1" applyBorder="1" applyAlignment="1">
      <alignment vertical="top"/>
    </xf>
    <xf numFmtId="165" fontId="6" fillId="0" borderId="1" xfId="0" applyNumberFormat="1" applyFont="1" applyBorder="1" applyAlignment="1">
      <alignment vertical="top"/>
    </xf>
    <xf numFmtId="165" fontId="3" fillId="3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165" fontId="5" fillId="0" borderId="1" xfId="0" applyNumberFormat="1" applyFont="1" applyBorder="1" applyAlignment="1">
      <alignment vertical="top"/>
    </xf>
    <xf numFmtId="1" fontId="3" fillId="0" borderId="1" xfId="0" applyNumberFormat="1" applyFont="1" applyBorder="1" applyAlignment="1">
      <alignment horizontal="center" vertical="top" wrapText="1"/>
    </xf>
    <xf numFmtId="1" fontId="3" fillId="0" borderId="1" xfId="0" applyNumberFormat="1" applyFont="1" applyBorder="1" applyAlignment="1">
      <alignment horizontal="center" vertical="top"/>
    </xf>
    <xf numFmtId="1" fontId="3" fillId="0" borderId="35" xfId="0" applyNumberFormat="1" applyFont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right"/>
    </xf>
    <xf numFmtId="167" fontId="3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8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4" fontId="8" fillId="0" borderId="0" xfId="0" applyNumberFormat="1" applyFont="1" applyAlignment="1">
      <alignment vertical="top"/>
    </xf>
    <xf numFmtId="2" fontId="9" fillId="0" borderId="0" xfId="0" applyNumberFormat="1" applyFont="1" applyAlignment="1">
      <alignment vertical="top"/>
    </xf>
    <xf numFmtId="0" fontId="9" fillId="0" borderId="0" xfId="0" applyFont="1" applyAlignment="1">
      <alignment vertical="top"/>
    </xf>
    <xf numFmtId="4" fontId="2" fillId="0" borderId="0" xfId="0" applyNumberFormat="1" applyFont="1" applyAlignment="1">
      <alignment horizontal="center" vertical="top" wrapText="1"/>
    </xf>
    <xf numFmtId="10" fontId="8" fillId="0" borderId="0" xfId="0" applyNumberFormat="1" applyFont="1" applyAlignment="1">
      <alignment horizontal="center" vertical="top"/>
    </xf>
    <xf numFmtId="1" fontId="14" fillId="0" borderId="0" xfId="0" applyNumberFormat="1" applyFont="1" applyAlignment="1">
      <alignment vertical="top"/>
    </xf>
    <xf numFmtId="170" fontId="2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10" fontId="12" fillId="0" borderId="0" xfId="0" applyNumberFormat="1" applyFont="1" applyAlignment="1">
      <alignment horizontal="center" vertical="top"/>
    </xf>
    <xf numFmtId="168" fontId="6" fillId="0" borderId="0" xfId="0" applyNumberFormat="1" applyFont="1" applyAlignment="1">
      <alignment vertical="top"/>
    </xf>
    <xf numFmtId="0" fontId="6" fillId="0" borderId="0" xfId="0" applyFont="1" applyAlignment="1">
      <alignment horizontal="right" vertical="top"/>
    </xf>
    <xf numFmtId="1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1" fontId="9" fillId="0" borderId="0" xfId="0" applyNumberFormat="1" applyFont="1" applyAlignment="1">
      <alignment horizontal="right" vertical="top"/>
    </xf>
    <xf numFmtId="4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horizontal="center" vertical="top"/>
    </xf>
    <xf numFmtId="4" fontId="6" fillId="0" borderId="0" xfId="0" applyNumberFormat="1" applyFont="1" applyAlignment="1">
      <alignment vertical="top"/>
    </xf>
    <xf numFmtId="4" fontId="6" fillId="0" borderId="0" xfId="0" applyNumberFormat="1" applyFont="1" applyAlignment="1">
      <alignment horizontal="center" vertical="top"/>
    </xf>
    <xf numFmtId="166" fontId="3" fillId="0" borderId="0" xfId="0" applyNumberFormat="1" applyFont="1" applyAlignment="1">
      <alignment vertical="top"/>
    </xf>
    <xf numFmtId="169" fontId="6" fillId="0" borderId="0" xfId="0" applyNumberFormat="1" applyFont="1" applyAlignment="1">
      <alignment vertical="top"/>
    </xf>
    <xf numFmtId="2" fontId="9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10" fontId="12" fillId="0" borderId="0" xfId="0" applyNumberFormat="1" applyFont="1" applyAlignment="1">
      <alignment horizontal="center" vertical="top" wrapText="1"/>
    </xf>
    <xf numFmtId="0" fontId="9" fillId="0" borderId="0" xfId="0" applyFont="1" applyAlignment="1">
      <alignment vertical="top" wrapText="1"/>
    </xf>
    <xf numFmtId="168" fontId="6" fillId="0" borderId="0" xfId="0" applyNumberFormat="1" applyFont="1" applyAlignment="1">
      <alignment vertical="top" wrapText="1"/>
    </xf>
    <xf numFmtId="0" fontId="6" fillId="0" borderId="0" xfId="0" applyFont="1" applyAlignment="1">
      <alignment horizontal="right" vertical="top" wrapText="1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14" fillId="0" borderId="0" xfId="0" applyFont="1" applyAlignment="1">
      <alignment vertical="top"/>
    </xf>
    <xf numFmtId="167" fontId="2" fillId="0" borderId="0" xfId="0" applyNumberFormat="1" applyFont="1" applyAlignment="1">
      <alignment horizontal="left" vertical="top"/>
    </xf>
    <xf numFmtId="0" fontId="7" fillId="0" borderId="7" xfId="0" applyFont="1" applyBorder="1" applyAlignment="1">
      <alignment horizontal="center" vertical="top"/>
    </xf>
    <xf numFmtId="165" fontId="4" fillId="0" borderId="0" xfId="0" applyNumberFormat="1" applyFont="1" applyAlignment="1">
      <alignment horizontal="centerContinuous" vertical="top"/>
    </xf>
    <xf numFmtId="165" fontId="4" fillId="0" borderId="32" xfId="0" applyNumberFormat="1" applyFont="1" applyBorder="1" applyAlignment="1">
      <alignment horizontal="centerContinuous" vertical="top"/>
    </xf>
    <xf numFmtId="170" fontId="10" fillId="0" borderId="0" xfId="0" applyNumberFormat="1" applyFont="1" applyAlignment="1">
      <alignment horizontal="center" vertical="top" wrapText="1"/>
    </xf>
    <xf numFmtId="1" fontId="10" fillId="0" borderId="0" xfId="0" applyNumberFormat="1" applyFont="1" applyAlignment="1">
      <alignment horizontal="center" vertical="top" wrapText="1"/>
    </xf>
    <xf numFmtId="44" fontId="3" fillId="0" borderId="0" xfId="1" applyNumberFormat="1" applyFont="1" applyBorder="1" applyAlignment="1">
      <alignment horizontal="center" vertical="top"/>
    </xf>
    <xf numFmtId="10" fontId="3" fillId="0" borderId="0" xfId="1" applyNumberFormat="1" applyFont="1" applyBorder="1" applyAlignment="1">
      <alignment horizontal="center" vertical="top"/>
    </xf>
    <xf numFmtId="43" fontId="3" fillId="0" borderId="36" xfId="1" applyNumberFormat="1" applyFont="1" applyFill="1" applyBorder="1" applyAlignment="1">
      <alignment horizontal="center" vertical="top"/>
    </xf>
    <xf numFmtId="43" fontId="3" fillId="0" borderId="36" xfId="1" applyNumberFormat="1" applyFont="1" applyBorder="1" applyAlignment="1">
      <alignment horizontal="center" vertical="top"/>
    </xf>
    <xf numFmtId="165" fontId="3" fillId="0" borderId="36" xfId="0" applyNumberFormat="1" applyFont="1" applyBorder="1" applyAlignment="1">
      <alignment horizontal="center" vertical="top"/>
    </xf>
    <xf numFmtId="165" fontId="3" fillId="0" borderId="34" xfId="1" applyFont="1" applyFill="1" applyBorder="1" applyAlignment="1">
      <alignment horizontal="center" vertical="top"/>
    </xf>
    <xf numFmtId="43" fontId="7" fillId="0" borderId="36" xfId="1" applyNumberFormat="1" applyFont="1" applyFill="1" applyBorder="1" applyAlignment="1">
      <alignment horizontal="center" vertical="top"/>
    </xf>
    <xf numFmtId="170" fontId="10" fillId="0" borderId="33" xfId="0" applyNumberFormat="1" applyFont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 vertical="top" wrapText="1"/>
    </xf>
    <xf numFmtId="1" fontId="1" fillId="0" borderId="0" xfId="0" applyNumberFormat="1" applyFont="1" applyAlignment="1">
      <alignment vertical="top" wrapText="1"/>
    </xf>
    <xf numFmtId="165" fontId="1" fillId="0" borderId="26" xfId="1" applyFont="1" applyBorder="1" applyAlignment="1">
      <alignment horizontal="center"/>
    </xf>
    <xf numFmtId="0" fontId="3" fillId="0" borderId="17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165" fontId="9" fillId="0" borderId="0" xfId="0" applyNumberFormat="1" applyFont="1" applyAlignment="1">
      <alignment vertical="top" wrapText="1"/>
    </xf>
    <xf numFmtId="165" fontId="6" fillId="3" borderId="0" xfId="0" applyNumberFormat="1" applyFont="1" applyFill="1" applyAlignment="1">
      <alignment vertical="top" wrapText="1"/>
    </xf>
    <xf numFmtId="0" fontId="3" fillId="0" borderId="2" xfId="0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10" fillId="0" borderId="9" xfId="1" applyFont="1" applyFill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167" fontId="14" fillId="0" borderId="0" xfId="0" applyNumberFormat="1" applyFont="1" applyAlignment="1">
      <alignment horizontal="left" vertical="top"/>
    </xf>
    <xf numFmtId="167" fontId="1" fillId="0" borderId="0" xfId="0" applyNumberFormat="1" applyFont="1" applyAlignment="1">
      <alignment horizontal="left" vertical="top" wrapText="1"/>
    </xf>
    <xf numFmtId="2" fontId="3" fillId="0" borderId="0" xfId="0" applyNumberFormat="1" applyFont="1" applyAlignment="1">
      <alignment horizontal="center" vertical="top"/>
    </xf>
    <xf numFmtId="1" fontId="3" fillId="0" borderId="0" xfId="0" applyNumberFormat="1" applyFont="1" applyAlignment="1">
      <alignment horizontal="center" vertical="top"/>
    </xf>
    <xf numFmtId="1" fontId="13" fillId="0" borderId="0" xfId="0" applyNumberFormat="1" applyFont="1" applyAlignment="1">
      <alignment horizontal="left" vertical="top"/>
    </xf>
    <xf numFmtId="1" fontId="3" fillId="0" borderId="1" xfId="0" applyNumberFormat="1" applyFont="1" applyBorder="1" applyAlignment="1">
      <alignment horizontal="left" vertical="top"/>
    </xf>
    <xf numFmtId="1" fontId="3" fillId="0" borderId="0" xfId="0" applyNumberFormat="1" applyFont="1" applyAlignment="1">
      <alignment horizontal="left" vertical="top"/>
    </xf>
    <xf numFmtId="165" fontId="3" fillId="0" borderId="0" xfId="1" applyFont="1" applyFill="1" applyBorder="1" applyAlignment="1">
      <alignment horizontal="center" vertical="top" wrapText="1"/>
    </xf>
    <xf numFmtId="165" fontId="3" fillId="0" borderId="13" xfId="1" applyFont="1" applyFill="1" applyBorder="1" applyAlignment="1">
      <alignment horizontal="center" vertical="top" wrapText="1"/>
    </xf>
    <xf numFmtId="1" fontId="16" fillId="8" borderId="41" xfId="0" applyNumberFormat="1" applyFont="1" applyFill="1" applyBorder="1" applyAlignment="1">
      <alignment horizontal="center" vertical="top"/>
    </xf>
    <xf numFmtId="1" fontId="16" fillId="8" borderId="8" xfId="0" applyNumberFormat="1" applyFont="1" applyFill="1" applyBorder="1" applyAlignment="1">
      <alignment horizontal="center" vertical="top"/>
    </xf>
    <xf numFmtId="1" fontId="16" fillId="8" borderId="7" xfId="0" applyNumberFormat="1" applyFont="1" applyFill="1" applyBorder="1" applyAlignment="1">
      <alignment horizontal="center" vertical="top"/>
    </xf>
    <xf numFmtId="1" fontId="16" fillId="8" borderId="7" xfId="0" applyNumberFormat="1" applyFont="1" applyFill="1" applyBorder="1" applyAlignment="1">
      <alignment horizontal="center" vertical="top" wrapText="1"/>
    </xf>
    <xf numFmtId="165" fontId="16" fillId="8" borderId="7" xfId="1" applyFont="1" applyFill="1" applyBorder="1" applyAlignment="1">
      <alignment horizontal="center" vertical="top" wrapText="1"/>
    </xf>
    <xf numFmtId="165" fontId="16" fillId="8" borderId="9" xfId="1" applyFont="1" applyFill="1" applyBorder="1" applyAlignment="1">
      <alignment horizontal="center" vertical="top" wrapText="1"/>
    </xf>
    <xf numFmtId="0" fontId="17" fillId="8" borderId="8" xfId="0" applyFont="1" applyFill="1" applyBorder="1" applyAlignment="1">
      <alignment horizontal="left" vertical="top"/>
    </xf>
    <xf numFmtId="0" fontId="18" fillId="8" borderId="7" xfId="0" applyFont="1" applyFill="1" applyBorder="1" applyAlignment="1">
      <alignment horizontal="left" vertical="top"/>
    </xf>
    <xf numFmtId="0" fontId="17" fillId="8" borderId="11" xfId="0" applyFont="1" applyFill="1" applyBorder="1" applyAlignment="1">
      <alignment horizontal="center" vertical="top"/>
    </xf>
    <xf numFmtId="165" fontId="17" fillId="8" borderId="11" xfId="1" applyFont="1" applyFill="1" applyBorder="1" applyAlignment="1">
      <alignment horizontal="center" vertical="top" wrapText="1"/>
    </xf>
    <xf numFmtId="165" fontId="17" fillId="8" borderId="11" xfId="1" applyFont="1" applyFill="1" applyBorder="1" applyAlignment="1">
      <alignment horizontal="center" vertical="top"/>
    </xf>
    <xf numFmtId="165" fontId="17" fillId="8" borderId="40" xfId="1" applyFont="1" applyFill="1" applyBorder="1" applyAlignment="1">
      <alignment horizontal="center" vertical="top"/>
    </xf>
    <xf numFmtId="0" fontId="17" fillId="8" borderId="7" xfId="0" applyFont="1" applyFill="1" applyBorder="1" applyAlignment="1">
      <alignment horizontal="center" vertical="top" wrapText="1"/>
    </xf>
    <xf numFmtId="0" fontId="17" fillId="8" borderId="11" xfId="0" applyFont="1" applyFill="1" applyBorder="1" applyAlignment="1">
      <alignment horizontal="left" vertical="top" wrapText="1"/>
    </xf>
    <xf numFmtId="0" fontId="17" fillId="8" borderId="11" xfId="0" applyFont="1" applyFill="1" applyBorder="1" applyAlignment="1">
      <alignment horizontal="center" vertical="top" wrapText="1"/>
    </xf>
    <xf numFmtId="165" fontId="17" fillId="8" borderId="11" xfId="0" applyNumberFormat="1" applyFont="1" applyFill="1" applyBorder="1" applyAlignment="1">
      <alignment horizontal="center" vertical="top" wrapText="1"/>
    </xf>
    <xf numFmtId="43" fontId="17" fillId="8" borderId="40" xfId="1" applyNumberFormat="1" applyFont="1" applyFill="1" applyBorder="1" applyAlignment="1">
      <alignment horizontal="center" vertical="top" wrapText="1"/>
    </xf>
    <xf numFmtId="0" fontId="19" fillId="8" borderId="7" xfId="0" applyFont="1" applyFill="1" applyBorder="1" applyAlignment="1">
      <alignment horizontal="left" vertical="top"/>
    </xf>
    <xf numFmtId="1" fontId="19" fillId="8" borderId="7" xfId="0" applyNumberFormat="1" applyFont="1" applyFill="1" applyBorder="1" applyAlignment="1">
      <alignment horizontal="left" vertical="top"/>
    </xf>
    <xf numFmtId="0" fontId="19" fillId="8" borderId="7" xfId="0" applyFont="1" applyFill="1" applyBorder="1" applyAlignment="1">
      <alignment horizontal="center" vertical="top"/>
    </xf>
    <xf numFmtId="165" fontId="19" fillId="8" borderId="7" xfId="1" applyFont="1" applyFill="1" applyBorder="1" applyAlignment="1">
      <alignment horizontal="center" vertical="top"/>
    </xf>
    <xf numFmtId="43" fontId="19" fillId="8" borderId="7" xfId="1" applyNumberFormat="1" applyFont="1" applyFill="1" applyBorder="1" applyAlignment="1">
      <alignment horizontal="center" vertical="top"/>
    </xf>
    <xf numFmtId="43" fontId="19" fillId="8" borderId="37" xfId="1" applyNumberFormat="1" applyFont="1" applyFill="1" applyBorder="1" applyAlignment="1">
      <alignment horizontal="center" vertical="top"/>
    </xf>
    <xf numFmtId="165" fontId="17" fillId="7" borderId="37" xfId="1" applyFont="1" applyFill="1" applyBorder="1" applyAlignment="1">
      <alignment horizontal="center" vertical="top"/>
    </xf>
    <xf numFmtId="44" fontId="17" fillId="7" borderId="37" xfId="1" applyNumberFormat="1" applyFont="1" applyFill="1" applyBorder="1" applyAlignment="1">
      <alignment horizontal="center" vertical="top"/>
    </xf>
    <xf numFmtId="10" fontId="17" fillId="7" borderId="37" xfId="1" applyNumberFormat="1" applyFont="1" applyFill="1" applyBorder="1" applyAlignment="1">
      <alignment horizontal="center" vertical="top"/>
    </xf>
    <xf numFmtId="0" fontId="3" fillId="0" borderId="15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" fontId="20" fillId="4" borderId="7" xfId="0" applyNumberFormat="1" applyFont="1" applyFill="1" applyBorder="1" applyAlignment="1">
      <alignment horizontal="center" vertical="top" wrapText="1"/>
    </xf>
    <xf numFmtId="1" fontId="10" fillId="6" borderId="8" xfId="0" applyNumberFormat="1" applyFont="1" applyFill="1" applyBorder="1" applyAlignment="1">
      <alignment horizontal="center" vertical="top" wrapText="1"/>
    </xf>
    <xf numFmtId="1" fontId="10" fillId="10" borderId="7" xfId="0" applyNumberFormat="1" applyFont="1" applyFill="1" applyBorder="1" applyAlignment="1">
      <alignment horizontal="center" vertical="top" wrapText="1"/>
    </xf>
    <xf numFmtId="1" fontId="10" fillId="5" borderId="7" xfId="0" applyNumberFormat="1" applyFont="1" applyFill="1" applyBorder="1" applyAlignment="1">
      <alignment horizontal="center" vertical="top" wrapText="1"/>
    </xf>
    <xf numFmtId="43" fontId="3" fillId="8" borderId="37" xfId="1" applyNumberFormat="1" applyFont="1" applyFill="1" applyBorder="1" applyAlignment="1">
      <alignment horizontal="center" vertical="top" wrapText="1"/>
    </xf>
    <xf numFmtId="165" fontId="9" fillId="8" borderId="7" xfId="0" applyNumberFormat="1" applyFont="1" applyFill="1" applyBorder="1" applyAlignment="1">
      <alignment vertical="top" wrapText="1"/>
    </xf>
    <xf numFmtId="165" fontId="3" fillId="8" borderId="37" xfId="1" applyFont="1" applyFill="1" applyBorder="1" applyAlignment="1">
      <alignment horizontal="center" vertical="top"/>
    </xf>
    <xf numFmtId="165" fontId="9" fillId="8" borderId="7" xfId="0" applyNumberFormat="1" applyFont="1" applyFill="1" applyBorder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10" fontId="3" fillId="5" borderId="1" xfId="0" applyNumberFormat="1" applyFont="1" applyFill="1" applyBorder="1" applyAlignment="1">
      <alignment horizontal="center" vertical="top" wrapText="1"/>
    </xf>
    <xf numFmtId="10" fontId="3" fillId="6" borderId="1" xfId="0" applyNumberFormat="1" applyFont="1" applyFill="1" applyBorder="1" applyAlignment="1">
      <alignment horizontal="center" vertical="top" wrapText="1"/>
    </xf>
    <xf numFmtId="10" fontId="3" fillId="0" borderId="0" xfId="0" applyNumberFormat="1" applyFont="1" applyAlignment="1">
      <alignment horizontal="center" vertical="top" wrapText="1"/>
    </xf>
    <xf numFmtId="10" fontId="3" fillId="0" borderId="1" xfId="0" applyNumberFormat="1" applyFont="1" applyBorder="1" applyAlignment="1">
      <alignment horizontal="center" vertical="top" wrapText="1"/>
    </xf>
    <xf numFmtId="10" fontId="3" fillId="4" borderId="1" xfId="1" applyNumberFormat="1" applyFont="1" applyFill="1" applyBorder="1" applyAlignment="1">
      <alignment horizontal="center" vertical="top" wrapText="1"/>
    </xf>
    <xf numFmtId="10" fontId="3" fillId="0" borderId="0" xfId="1" applyNumberFormat="1" applyFont="1" applyFill="1" applyBorder="1" applyAlignment="1">
      <alignment horizontal="center" vertical="top" wrapText="1"/>
    </xf>
    <xf numFmtId="10" fontId="3" fillId="10" borderId="1" xfId="1" applyNumberFormat="1" applyFont="1" applyFill="1" applyBorder="1" applyAlignment="1">
      <alignment horizontal="center" vertical="top" wrapText="1"/>
    </xf>
    <xf numFmtId="10" fontId="3" fillId="9" borderId="0" xfId="0" applyNumberFormat="1" applyFont="1" applyFill="1" applyAlignment="1">
      <alignment horizontal="center" vertical="top" wrapText="1"/>
    </xf>
    <xf numFmtId="165" fontId="3" fillId="0" borderId="0" xfId="1" applyFont="1" applyAlignment="1">
      <alignment vertical="top"/>
    </xf>
    <xf numFmtId="0" fontId="6" fillId="0" borderId="0" xfId="0" applyFont="1" applyAlignment="1">
      <alignment horizontal="center" vertical="top"/>
    </xf>
    <xf numFmtId="165" fontId="16" fillId="8" borderId="7" xfId="1" applyFont="1" applyFill="1" applyBorder="1" applyAlignment="1">
      <alignment horizontal="center" vertical="top"/>
    </xf>
    <xf numFmtId="43" fontId="16" fillId="8" borderId="7" xfId="1" applyNumberFormat="1" applyFont="1" applyFill="1" applyBorder="1" applyAlignment="1">
      <alignment horizontal="center" vertical="top"/>
    </xf>
    <xf numFmtId="0" fontId="1" fillId="0" borderId="39" xfId="0" applyFont="1" applyBorder="1"/>
    <xf numFmtId="0" fontId="1" fillId="0" borderId="27" xfId="0" applyFont="1" applyBorder="1"/>
    <xf numFmtId="0" fontId="21" fillId="11" borderId="15" xfId="0" applyFont="1" applyFill="1" applyBorder="1" applyAlignment="1">
      <alignment horizontal="center"/>
    </xf>
    <xf numFmtId="0" fontId="21" fillId="11" borderId="5" xfId="0" applyFont="1" applyFill="1" applyBorder="1"/>
    <xf numFmtId="4" fontId="22" fillId="11" borderId="4" xfId="0" applyNumberFormat="1" applyFont="1" applyFill="1" applyBorder="1" applyAlignment="1">
      <alignment horizontal="center"/>
    </xf>
    <xf numFmtId="4" fontId="22" fillId="11" borderId="21" xfId="0" applyNumberFormat="1" applyFont="1" applyFill="1" applyBorder="1" applyAlignment="1">
      <alignment horizontal="center"/>
    </xf>
    <xf numFmtId="170" fontId="1" fillId="0" borderId="0" xfId="0" applyNumberFormat="1" applyFont="1" applyAlignment="1">
      <alignment horizontal="center" vertical="top" wrapText="1"/>
    </xf>
    <xf numFmtId="4" fontId="1" fillId="0" borderId="0" xfId="0" applyNumberFormat="1" applyFont="1" applyAlignment="1">
      <alignment vertical="top"/>
    </xf>
    <xf numFmtId="10" fontId="1" fillId="0" borderId="0" xfId="0" applyNumberFormat="1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10" fontId="1" fillId="0" borderId="0" xfId="0" applyNumberFormat="1" applyFont="1" applyAlignment="1">
      <alignment horizontal="center" vertical="top" wrapText="1"/>
    </xf>
    <xf numFmtId="4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10" fontId="1" fillId="0" borderId="0" xfId="0" applyNumberFormat="1" applyFont="1" applyAlignment="1">
      <alignment vertical="top" wrapText="1"/>
    </xf>
    <xf numFmtId="10" fontId="1" fillId="0" borderId="0" xfId="0" applyNumberFormat="1" applyFont="1" applyAlignment="1">
      <alignment vertical="top"/>
    </xf>
    <xf numFmtId="4" fontId="1" fillId="0" borderId="0" xfId="2" applyNumberFormat="1" applyFont="1" applyFill="1" applyBorder="1" applyAlignment="1">
      <alignment vertical="top"/>
    </xf>
    <xf numFmtId="0" fontId="1" fillId="0" borderId="20" xfId="0" applyFont="1" applyBorder="1"/>
    <xf numFmtId="0" fontId="1" fillId="0" borderId="38" xfId="0" applyFont="1" applyBorder="1"/>
    <xf numFmtId="49" fontId="1" fillId="0" borderId="20" xfId="0" applyNumberFormat="1" applyFont="1" applyBorder="1" applyAlignment="1">
      <alignment horizontal="left"/>
    </xf>
    <xf numFmtId="0" fontId="1" fillId="0" borderId="0" xfId="0" applyFont="1"/>
    <xf numFmtId="0" fontId="1" fillId="0" borderId="5" xfId="0" applyFont="1" applyBorder="1"/>
    <xf numFmtId="0" fontId="1" fillId="0" borderId="19" xfId="0" applyFont="1" applyBorder="1"/>
    <xf numFmtId="0" fontId="1" fillId="0" borderId="29" xfId="0" applyFont="1" applyBorder="1"/>
    <xf numFmtId="4" fontId="1" fillId="0" borderId="23" xfId="0" applyNumberFormat="1" applyFont="1" applyBorder="1" applyAlignment="1">
      <alignment horizontal="center"/>
    </xf>
    <xf numFmtId="4" fontId="1" fillId="0" borderId="5" xfId="0" applyNumberFormat="1" applyFont="1" applyBorder="1" applyAlignment="1">
      <alignment horizontal="center"/>
    </xf>
    <xf numFmtId="0" fontId="1" fillId="0" borderId="13" xfId="0" applyFont="1" applyBorder="1"/>
    <xf numFmtId="4" fontId="1" fillId="0" borderId="3" xfId="0" applyNumberFormat="1" applyFont="1" applyBorder="1" applyAlignment="1">
      <alignment horizontal="center"/>
    </xf>
    <xf numFmtId="4" fontId="1" fillId="0" borderId="21" xfId="0" applyNumberFormat="1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0" borderId="1" xfId="0" applyFont="1" applyBorder="1"/>
    <xf numFmtId="2" fontId="1" fillId="0" borderId="1" xfId="0" applyNumberFormat="1" applyFont="1" applyBorder="1" applyAlignment="1">
      <alignment horizontal="center"/>
    </xf>
    <xf numFmtId="0" fontId="1" fillId="0" borderId="10" xfId="0" applyFont="1" applyBorder="1"/>
    <xf numFmtId="171" fontId="1" fillId="0" borderId="0" xfId="0" applyNumberFormat="1" applyFont="1" applyAlignment="1">
      <alignment vertical="top"/>
    </xf>
    <xf numFmtId="171" fontId="2" fillId="0" borderId="0" xfId="0" applyNumberFormat="1" applyFont="1" applyAlignment="1">
      <alignment horizontal="left" vertical="top"/>
    </xf>
    <xf numFmtId="171" fontId="14" fillId="0" borderId="0" xfId="0" applyNumberFormat="1" applyFont="1" applyAlignment="1">
      <alignment horizontal="center" vertical="top"/>
    </xf>
    <xf numFmtId="171" fontId="2" fillId="0" borderId="0" xfId="0" applyNumberFormat="1" applyFont="1" applyAlignment="1">
      <alignment vertical="top"/>
    </xf>
    <xf numFmtId="171" fontId="0" fillId="0" borderId="0" xfId="0" applyNumberFormat="1" applyAlignment="1">
      <alignment horizontal="right" vertical="top"/>
    </xf>
    <xf numFmtId="171" fontId="1" fillId="0" borderId="0" xfId="0" applyNumberFormat="1" applyFont="1" applyAlignment="1">
      <alignment horizontal="right" vertical="top"/>
    </xf>
    <xf numFmtId="171" fontId="1" fillId="0" borderId="0" xfId="0" applyNumberFormat="1" applyFont="1" applyAlignment="1">
      <alignment horizontal="right" vertical="top" wrapText="1"/>
    </xf>
    <xf numFmtId="171" fontId="9" fillId="0" borderId="0" xfId="0" applyNumberFormat="1" applyFont="1" applyAlignment="1">
      <alignment horizontal="right" vertical="top"/>
    </xf>
    <xf numFmtId="171" fontId="8" fillId="0" borderId="0" xfId="0" applyNumberFormat="1" applyFont="1" applyAlignment="1">
      <alignment vertical="top"/>
    </xf>
    <xf numFmtId="167" fontId="1" fillId="0" borderId="0" xfId="0" applyNumberFormat="1" applyFont="1" applyAlignment="1">
      <alignment vertical="top" wrapText="1"/>
    </xf>
    <xf numFmtId="0" fontId="2" fillId="12" borderId="0" xfId="0" applyFont="1" applyFill="1" applyAlignment="1">
      <alignment vertical="top"/>
    </xf>
    <xf numFmtId="171" fontId="2" fillId="12" borderId="0" xfId="0" applyNumberFormat="1" applyFont="1" applyFill="1" applyAlignment="1">
      <alignment vertical="top"/>
    </xf>
    <xf numFmtId="0" fontId="24" fillId="0" borderId="0" xfId="0" applyFont="1" applyAlignment="1">
      <alignment horizontal="left" vertical="top" wrapText="1"/>
    </xf>
    <xf numFmtId="170" fontId="1" fillId="0" borderId="0" xfId="0" applyNumberFormat="1" applyFont="1" applyAlignment="1">
      <alignment horizontal="right" vertical="top" wrapText="1"/>
    </xf>
    <xf numFmtId="170" fontId="0" fillId="0" borderId="0" xfId="0" applyNumberFormat="1" applyAlignment="1">
      <alignment horizontal="right" vertical="top"/>
    </xf>
    <xf numFmtId="0" fontId="14" fillId="13" borderId="0" xfId="0" applyFont="1" applyFill="1" applyAlignment="1">
      <alignment horizontal="center" vertical="top"/>
    </xf>
    <xf numFmtId="171" fontId="14" fillId="13" borderId="0" xfId="0" applyNumberFormat="1" applyFont="1" applyFill="1" applyAlignment="1">
      <alignment horizontal="center" vertical="top"/>
    </xf>
    <xf numFmtId="0" fontId="2" fillId="14" borderId="0" xfId="0" applyFont="1" applyFill="1" applyAlignment="1">
      <alignment vertical="top"/>
    </xf>
    <xf numFmtId="171" fontId="2" fillId="14" borderId="0" xfId="0" applyNumberFormat="1" applyFont="1" applyFill="1" applyAlignment="1">
      <alignment vertical="top"/>
    </xf>
    <xf numFmtId="170" fontId="2" fillId="14" borderId="0" xfId="0" applyNumberFormat="1" applyFont="1" applyFill="1" applyAlignment="1">
      <alignment vertical="top"/>
    </xf>
    <xf numFmtId="0" fontId="24" fillId="8" borderId="0" xfId="0" applyFont="1" applyFill="1" applyAlignment="1">
      <alignment horizontal="left" vertical="top" wrapText="1"/>
    </xf>
    <xf numFmtId="170" fontId="2" fillId="12" borderId="0" xfId="0" applyNumberFormat="1" applyFont="1" applyFill="1" applyAlignment="1">
      <alignment vertical="top"/>
    </xf>
    <xf numFmtId="170" fontId="1" fillId="0" borderId="0" xfId="0" applyNumberFormat="1" applyFont="1" applyAlignment="1">
      <alignment horizontal="right" vertical="top"/>
    </xf>
    <xf numFmtId="0" fontId="2" fillId="13" borderId="0" xfId="0" applyFont="1" applyFill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165" fontId="3" fillId="0" borderId="0" xfId="0" applyNumberFormat="1" applyFont="1" applyAlignment="1">
      <alignment horizontal="center" vertical="top" wrapText="1"/>
    </xf>
    <xf numFmtId="165" fontId="3" fillId="0" borderId="0" xfId="1" applyFont="1" applyBorder="1" applyAlignment="1">
      <alignment horizontal="center" vertical="top" wrapText="1"/>
    </xf>
    <xf numFmtId="43" fontId="3" fillId="0" borderId="13" xfId="1" applyNumberFormat="1" applyFont="1" applyBorder="1" applyAlignment="1">
      <alignment horizontal="center" vertical="top" wrapText="1"/>
    </xf>
    <xf numFmtId="43" fontId="3" fillId="0" borderId="36" xfId="1" applyNumberFormat="1" applyFont="1" applyBorder="1" applyAlignment="1">
      <alignment horizontal="center" vertical="top" wrapText="1"/>
    </xf>
    <xf numFmtId="170" fontId="2" fillId="13" borderId="0" xfId="0" applyNumberFormat="1" applyFont="1" applyFill="1" applyAlignment="1">
      <alignment horizontal="right" vertical="top"/>
    </xf>
    <xf numFmtId="0" fontId="14" fillId="0" borderId="0" xfId="0" applyFont="1" applyAlignment="1">
      <alignment horizontal="right" vertical="center"/>
    </xf>
    <xf numFmtId="170" fontId="14" fillId="0" borderId="0" xfId="0" applyNumberFormat="1" applyFont="1" applyAlignment="1">
      <alignment horizontal="center" vertical="center"/>
    </xf>
    <xf numFmtId="171" fontId="14" fillId="0" borderId="0" xfId="0" applyNumberFormat="1" applyFont="1" applyAlignment="1">
      <alignment horizontal="right" vertical="center"/>
    </xf>
    <xf numFmtId="170" fontId="1" fillId="0" borderId="0" xfId="0" applyNumberFormat="1" applyFont="1" applyAlignment="1">
      <alignment vertical="top"/>
    </xf>
    <xf numFmtId="0" fontId="1" fillId="0" borderId="0" xfId="0" applyFont="1" applyAlignment="1">
      <alignment horizontal="left" vertical="top"/>
    </xf>
    <xf numFmtId="17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71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top" wrapText="1"/>
    </xf>
    <xf numFmtId="170" fontId="2" fillId="0" borderId="0" xfId="0" applyNumberFormat="1" applyFont="1" applyAlignment="1">
      <alignment vertical="top" wrapText="1"/>
    </xf>
    <xf numFmtId="0" fontId="14" fillId="0" borderId="0" xfId="0" applyFont="1" applyAlignment="1">
      <alignment horizontal="left" vertical="center"/>
    </xf>
    <xf numFmtId="170" fontId="14" fillId="0" borderId="0" xfId="0" applyNumberFormat="1" applyFont="1" applyAlignment="1">
      <alignment vertical="top"/>
    </xf>
    <xf numFmtId="1" fontId="2" fillId="0" borderId="0" xfId="0" applyNumberFormat="1" applyFont="1" applyAlignment="1">
      <alignment vertical="top"/>
    </xf>
    <xf numFmtId="0" fontId="1" fillId="0" borderId="0" xfId="0" applyFon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165" fontId="23" fillId="8" borderId="0" xfId="0" applyNumberFormat="1" applyFont="1" applyFill="1" applyAlignment="1">
      <alignment horizontal="center" vertical="top"/>
    </xf>
    <xf numFmtId="165" fontId="17" fillId="7" borderId="8" xfId="1" applyFont="1" applyFill="1" applyBorder="1" applyAlignment="1">
      <alignment horizontal="center" vertical="top"/>
    </xf>
    <xf numFmtId="165" fontId="17" fillId="7" borderId="9" xfId="1" applyFont="1" applyFill="1" applyBorder="1" applyAlignment="1">
      <alignment horizontal="center" vertical="top"/>
    </xf>
    <xf numFmtId="165" fontId="4" fillId="0" borderId="33" xfId="0" applyNumberFormat="1" applyFont="1" applyBorder="1" applyAlignment="1">
      <alignment horizontal="center" vertical="top" wrapText="1"/>
    </xf>
    <xf numFmtId="165" fontId="4" fillId="0" borderId="36" xfId="0" applyNumberFormat="1" applyFont="1" applyBorder="1" applyAlignment="1">
      <alignment horizontal="center" vertical="top" wrapText="1"/>
    </xf>
    <xf numFmtId="165" fontId="4" fillId="0" borderId="34" xfId="0" applyNumberFormat="1" applyFont="1" applyBorder="1" applyAlignment="1">
      <alignment horizontal="center" vertical="top" wrapText="1"/>
    </xf>
    <xf numFmtId="165" fontId="4" fillId="0" borderId="14" xfId="0" applyNumberFormat="1" applyFont="1" applyBorder="1" applyAlignment="1">
      <alignment horizontal="center" vertical="top" wrapText="1"/>
    </xf>
    <xf numFmtId="165" fontId="4" fillId="0" borderId="13" xfId="0" applyNumberFormat="1" applyFont="1" applyBorder="1" applyAlignment="1">
      <alignment horizontal="center" vertical="top" wrapText="1"/>
    </xf>
    <xf numFmtId="165" fontId="4" fillId="0" borderId="10" xfId="0" applyNumberFormat="1" applyFont="1" applyBorder="1" applyAlignment="1">
      <alignment horizontal="center" vertical="top" wrapText="1"/>
    </xf>
    <xf numFmtId="165" fontId="10" fillId="0" borderId="32" xfId="0" applyNumberFormat="1" applyFont="1" applyBorder="1" applyAlignment="1">
      <alignment horizontal="center" vertical="top"/>
    </xf>
    <xf numFmtId="165" fontId="10" fillId="0" borderId="22" xfId="0" applyNumberFormat="1" applyFont="1" applyBorder="1" applyAlignment="1">
      <alignment horizontal="center" vertical="top"/>
    </xf>
    <xf numFmtId="165" fontId="10" fillId="0" borderId="15" xfId="0" applyNumberFormat="1" applyFont="1" applyBorder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165" fontId="10" fillId="0" borderId="17" xfId="0" applyNumberFormat="1" applyFont="1" applyBorder="1" applyAlignment="1">
      <alignment horizontal="center" vertical="top"/>
    </xf>
    <xf numFmtId="165" fontId="10" fillId="0" borderId="1" xfId="0" applyNumberFormat="1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165" fontId="3" fillId="0" borderId="0" xfId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5" fontId="25" fillId="0" borderId="0" xfId="0" applyNumberFormat="1" applyFont="1" applyAlignment="1">
      <alignment horizontal="center" vertical="top" wrapText="1"/>
    </xf>
    <xf numFmtId="0" fontId="25" fillId="0" borderId="0" xfId="0" applyFont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7" fillId="0" borderId="8" xfId="0" applyFont="1" applyBorder="1" applyAlignment="1">
      <alignment horizontal="left" wrapText="1"/>
    </xf>
    <xf numFmtId="0" fontId="11" fillId="0" borderId="7" xfId="0" applyFont="1" applyBorder="1" applyAlignment="1">
      <alignment wrapText="1"/>
    </xf>
  </cellXfs>
  <cellStyles count="4">
    <cellStyle name="Comma" xfId="1" builtinId="3"/>
    <cellStyle name="Currency" xfId="2" builtinId="4"/>
    <cellStyle name="Normal" xfId="0" builtinId="0"/>
    <cellStyle name="Normal 3" xfId="3" xr:uid="{F3A91DF6-39DE-4622-BEE3-1FA8F907C08E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E8594A"/>
      <color rgb="FFE96F49"/>
      <color rgb="FFE7834B"/>
      <color rgb="FFE76C4B"/>
      <color rgb="FFE97749"/>
      <color rgb="FFE95849"/>
      <color rgb="FFFA4638"/>
      <color rgb="FFFEB634"/>
      <color rgb="FFFF9933"/>
      <color rgb="FFE58B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0</xdr:row>
      <xdr:rowOff>0</xdr:rowOff>
    </xdr:from>
    <xdr:to>
      <xdr:col>5</xdr:col>
      <xdr:colOff>1028701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7C86B0-0C80-0067-6C0D-F1768E1CB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932" t="21817" r="14091" b="19547"/>
        <a:stretch/>
      </xdr:blipFill>
      <xdr:spPr>
        <a:xfrm>
          <a:off x="5353050" y="0"/>
          <a:ext cx="2066926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212782</xdr:colOff>
      <xdr:row>155</xdr:row>
      <xdr:rowOff>152913</xdr:rowOff>
    </xdr:from>
    <xdr:to>
      <xdr:col>1</xdr:col>
      <xdr:colOff>1203382</xdr:colOff>
      <xdr:row>159</xdr:row>
      <xdr:rowOff>18542</xdr:rowOff>
    </xdr:to>
    <xdr:pic>
      <xdr:nvPicPr>
        <xdr:cNvPr id="3" name="dimg_9" descr="CHAS Accreditation - Element PFP">
          <a:extLst>
            <a:ext uri="{FF2B5EF4-FFF2-40B4-BE49-F238E27FC236}">
              <a16:creationId xmlns:a16="http://schemas.microsoft.com/office/drawing/2014/main" id="{AF826CE5-5175-E098-8C53-86872C8ADC9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693" r="4000" b="25926"/>
        <a:stretch/>
      </xdr:blipFill>
      <xdr:spPr bwMode="auto">
        <a:xfrm>
          <a:off x="611641" y="10243460"/>
          <a:ext cx="990600" cy="508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1582027</xdr:colOff>
      <xdr:row>155</xdr:row>
      <xdr:rowOff>160239</xdr:rowOff>
    </xdr:from>
    <xdr:to>
      <xdr:col>1</xdr:col>
      <xdr:colOff>2105901</xdr:colOff>
      <xdr:row>159</xdr:row>
      <xdr:rowOff>8262</xdr:rowOff>
    </xdr:to>
    <xdr:pic>
      <xdr:nvPicPr>
        <xdr:cNvPr id="4" name="dimg_11" descr="Download The SSIP Supplier Logo - SSIP - Safety Schemes In ...">
          <a:extLst>
            <a:ext uri="{FF2B5EF4-FFF2-40B4-BE49-F238E27FC236}">
              <a16:creationId xmlns:a16="http://schemas.microsoft.com/office/drawing/2014/main" id="{EDC13806-5C3F-B88C-E8E1-F3E840394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0886" y="10250786"/>
          <a:ext cx="523874" cy="490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2554272</xdr:colOff>
      <xdr:row>156</xdr:row>
      <xdr:rowOff>2804</xdr:rowOff>
    </xdr:from>
    <xdr:to>
      <xdr:col>1</xdr:col>
      <xdr:colOff>3528752</xdr:colOff>
      <xdr:row>159</xdr:row>
      <xdr:rowOff>3415</xdr:rowOff>
    </xdr:to>
    <xdr:pic>
      <xdr:nvPicPr>
        <xdr:cNvPr id="7" name="Picture 6" descr="Our Accreditations And Memberships | Acorn Safety Services">
          <a:extLst>
            <a:ext uri="{FF2B5EF4-FFF2-40B4-BE49-F238E27FC236}">
              <a16:creationId xmlns:a16="http://schemas.microsoft.com/office/drawing/2014/main" id="{C67B0C0B-6CE1-ABBF-1106-D84EE6F68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3131" y="10254085"/>
          <a:ext cx="974480" cy="482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3773390</xdr:colOff>
      <xdr:row>156</xdr:row>
      <xdr:rowOff>330</xdr:rowOff>
    </xdr:from>
    <xdr:to>
      <xdr:col>2</xdr:col>
      <xdr:colOff>291637</xdr:colOff>
      <xdr:row>159</xdr:row>
      <xdr:rowOff>8066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FB78EFE-9A09-6937-AF19-09C72E00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2249" y="10251611"/>
          <a:ext cx="709247" cy="48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3</xdr:row>
      <xdr:rowOff>19050</xdr:rowOff>
    </xdr:from>
    <xdr:to>
      <xdr:col>9</xdr:col>
      <xdr:colOff>85725</xdr:colOff>
      <xdr:row>5</xdr:row>
      <xdr:rowOff>9525</xdr:rowOff>
    </xdr:to>
    <xdr:sp macro="[0]!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3782DA-D80A-B1A6-1649-07BAD5BFDC07}"/>
            </a:ext>
          </a:extLst>
        </xdr:cNvPr>
        <xdr:cNvSpPr/>
      </xdr:nvSpPr>
      <xdr:spPr>
        <a:xfrm>
          <a:off x="6762750" y="1038225"/>
          <a:ext cx="131445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Add New Line</a:t>
          </a:r>
        </a:p>
      </xdr:txBody>
    </xdr:sp>
    <xdr:clientData/>
  </xdr:twoCellAnchor>
  <xdr:twoCellAnchor editAs="oneCell">
    <xdr:from>
      <xdr:col>3</xdr:col>
      <xdr:colOff>2396573</xdr:colOff>
      <xdr:row>0</xdr:row>
      <xdr:rowOff>149087</xdr:rowOff>
    </xdr:from>
    <xdr:to>
      <xdr:col>3</xdr:col>
      <xdr:colOff>4298690</xdr:colOff>
      <xdr:row>4</xdr:row>
      <xdr:rowOff>84391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31D466A-DB9D-0CC7-5564-EE26DF22E1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0924"/>
        <a:stretch/>
      </xdr:blipFill>
      <xdr:spPr>
        <a:xfrm>
          <a:off x="3315943" y="149087"/>
          <a:ext cx="1902117" cy="11362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R148"/>
  <sheetViews>
    <sheetView tabSelected="1" view="pageBreakPreview" zoomScale="115" zoomScaleNormal="100" zoomScaleSheetLayoutView="115" workbookViewId="0">
      <selection activeCell="F26" sqref="F26"/>
    </sheetView>
  </sheetViews>
  <sheetFormatPr defaultColWidth="9.140625" defaultRowHeight="12.75" x14ac:dyDescent="0.2"/>
  <cols>
    <col min="1" max="1" width="6" style="73" customWidth="1"/>
    <col min="2" max="2" width="62.85546875" style="73" customWidth="1"/>
    <col min="3" max="3" width="7.140625" style="73" customWidth="1"/>
    <col min="4" max="4" width="8" style="73" customWidth="1"/>
    <col min="5" max="5" width="12.5703125" style="229" customWidth="1"/>
    <col min="6" max="6" width="15.7109375" style="229" customWidth="1"/>
    <col min="7" max="7" width="10.42578125" style="79" customWidth="1"/>
    <col min="8" max="8" width="10.42578125" style="75" customWidth="1"/>
    <col min="9" max="9" width="11.5703125" style="75" bestFit="1" customWidth="1"/>
    <col min="10" max="10" width="7.140625" style="75" bestFit="1" customWidth="1"/>
    <col min="11" max="11" width="3.28515625" style="76" customWidth="1"/>
    <col min="12" max="12" width="11.7109375" style="73" customWidth="1"/>
    <col min="13" max="13" width="12.7109375" style="75" customWidth="1"/>
    <col min="14" max="14" width="2.28515625" style="73" customWidth="1"/>
    <col min="15" max="15" width="11.7109375" style="75" customWidth="1"/>
    <col min="16" max="16" width="9.7109375" style="73" customWidth="1"/>
    <col min="17" max="16384" width="9.140625" style="73"/>
  </cols>
  <sheetData>
    <row r="1" spans="2:44" x14ac:dyDescent="0.2">
      <c r="B1" s="64" t="s">
        <v>142</v>
      </c>
      <c r="C1" s="82"/>
      <c r="D1" s="82"/>
      <c r="E1" s="221"/>
      <c r="F1" s="221"/>
      <c r="G1" s="197"/>
      <c r="H1" s="196"/>
      <c r="I1" s="196"/>
      <c r="J1" s="196"/>
      <c r="L1" s="82"/>
      <c r="M1" s="196"/>
      <c r="N1" s="82"/>
      <c r="O1" s="196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 t="s">
        <v>0</v>
      </c>
    </row>
    <row r="2" spans="2:44" x14ac:dyDescent="0.2">
      <c r="B2" s="64"/>
      <c r="C2" s="82"/>
      <c r="D2" s="82"/>
      <c r="E2" s="221"/>
      <c r="F2" s="221"/>
      <c r="G2" s="197"/>
      <c r="H2" s="196"/>
      <c r="I2" s="196"/>
      <c r="J2" s="196"/>
      <c r="L2" s="82"/>
      <c r="M2" s="196"/>
      <c r="N2" s="82"/>
      <c r="O2" s="196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</row>
    <row r="3" spans="2:44" x14ac:dyDescent="0.2">
      <c r="B3" s="103" t="s">
        <v>126</v>
      </c>
      <c r="C3" s="82"/>
      <c r="D3" s="82"/>
      <c r="E3" s="221"/>
      <c r="F3" s="221"/>
      <c r="G3" s="197"/>
      <c r="H3" s="196"/>
      <c r="I3" s="196"/>
      <c r="J3" s="196"/>
      <c r="L3" s="82"/>
      <c r="M3" s="196"/>
      <c r="N3" s="82"/>
      <c r="O3" s="196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 t="s">
        <v>1</v>
      </c>
    </row>
    <row r="4" spans="2:44" x14ac:dyDescent="0.2">
      <c r="B4" s="64"/>
      <c r="C4" s="82"/>
      <c r="D4" s="82"/>
      <c r="E4" s="221"/>
      <c r="F4" s="221"/>
      <c r="G4" s="197"/>
      <c r="H4" s="196"/>
      <c r="I4" s="196"/>
      <c r="J4" s="196"/>
      <c r="L4" s="82"/>
      <c r="M4" s="196"/>
      <c r="N4" s="82"/>
      <c r="O4" s="196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 t="s">
        <v>142</v>
      </c>
    </row>
    <row r="5" spans="2:44" x14ac:dyDescent="0.2">
      <c r="B5" s="64"/>
      <c r="C5" s="82"/>
      <c r="D5" s="82"/>
      <c r="E5" s="221"/>
      <c r="F5" s="221"/>
      <c r="G5" s="197"/>
      <c r="H5" s="196"/>
      <c r="I5" s="196"/>
      <c r="J5" s="196"/>
      <c r="L5" s="82"/>
      <c r="M5" s="196"/>
      <c r="N5" s="82"/>
      <c r="O5" s="196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</row>
    <row r="6" spans="2:44" x14ac:dyDescent="0.2">
      <c r="B6" s="64" t="s">
        <v>143</v>
      </c>
      <c r="C6" s="82"/>
      <c r="D6" s="82"/>
      <c r="E6" s="221"/>
      <c r="F6" s="221"/>
      <c r="G6" s="197"/>
      <c r="H6" s="196"/>
      <c r="I6" s="196"/>
      <c r="J6" s="196"/>
      <c r="L6" s="82"/>
      <c r="M6" s="196"/>
      <c r="N6" s="82"/>
      <c r="O6" s="196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 t="s">
        <v>2</v>
      </c>
    </row>
    <row r="7" spans="2:44" x14ac:dyDescent="0.2">
      <c r="B7" s="82" t="s">
        <v>144</v>
      </c>
      <c r="C7" s="82"/>
      <c r="D7" s="82"/>
      <c r="E7" s="221"/>
      <c r="F7" s="221"/>
      <c r="G7" s="197"/>
      <c r="H7" s="196"/>
      <c r="I7" s="196"/>
      <c r="J7" s="196"/>
      <c r="L7" s="82"/>
      <c r="M7" s="196"/>
      <c r="N7" s="82"/>
      <c r="O7" s="196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 t="s">
        <v>3</v>
      </c>
    </row>
    <row r="8" spans="2:44" x14ac:dyDescent="0.2">
      <c r="B8" s="82" t="s">
        <v>144</v>
      </c>
      <c r="C8" s="82"/>
      <c r="D8" s="82"/>
      <c r="E8" s="221"/>
      <c r="F8" s="221"/>
      <c r="G8" s="197"/>
      <c r="H8" s="196"/>
      <c r="I8" s="196"/>
      <c r="J8" s="196"/>
      <c r="L8" s="82"/>
      <c r="M8" s="196"/>
      <c r="N8" s="82"/>
      <c r="O8" s="196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 t="s">
        <v>4</v>
      </c>
    </row>
    <row r="9" spans="2:44" x14ac:dyDescent="0.2">
      <c r="B9" s="82" t="s">
        <v>144</v>
      </c>
      <c r="C9" s="82"/>
      <c r="D9" s="82"/>
      <c r="E9" s="221"/>
      <c r="F9" s="221"/>
      <c r="G9" s="197"/>
      <c r="H9" s="196"/>
      <c r="I9" s="196"/>
      <c r="J9" s="196"/>
      <c r="L9" s="82"/>
      <c r="M9" s="196"/>
      <c r="N9" s="82"/>
      <c r="O9" s="196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</row>
    <row r="10" spans="2:44" x14ac:dyDescent="0.2">
      <c r="B10" s="82" t="s">
        <v>144</v>
      </c>
      <c r="C10" s="82"/>
      <c r="D10" s="82"/>
      <c r="E10" s="221"/>
      <c r="F10" s="221"/>
      <c r="G10" s="197"/>
      <c r="H10" s="196"/>
      <c r="I10" s="196"/>
      <c r="J10" s="196"/>
      <c r="L10" s="82"/>
      <c r="M10" s="196"/>
      <c r="N10" s="82"/>
      <c r="O10" s="196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</row>
    <row r="11" spans="2:44" x14ac:dyDescent="0.2">
      <c r="B11" s="82" t="s">
        <v>144</v>
      </c>
      <c r="C11" s="82"/>
      <c r="D11" s="82"/>
      <c r="E11" s="221"/>
      <c r="F11" s="221"/>
      <c r="G11" s="197"/>
      <c r="H11" s="196"/>
      <c r="I11" s="196"/>
      <c r="J11" s="196"/>
      <c r="L11" s="82"/>
      <c r="M11" s="196"/>
      <c r="N11" s="82"/>
      <c r="O11" s="196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</row>
    <row r="12" spans="2:44" x14ac:dyDescent="0.2">
      <c r="B12" s="64"/>
      <c r="C12" s="82"/>
      <c r="D12" s="82"/>
      <c r="E12" s="258" t="s">
        <v>128</v>
      </c>
      <c r="F12" s="259"/>
      <c r="G12" s="197"/>
      <c r="H12" s="196"/>
      <c r="I12" s="196"/>
      <c r="J12" s="196"/>
      <c r="L12" s="82"/>
      <c r="M12" s="196"/>
      <c r="N12" s="82"/>
      <c r="O12" s="196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</row>
    <row r="13" spans="2:44" ht="15" x14ac:dyDescent="0.2">
      <c r="B13" s="104">
        <f ca="1">TODAY()</f>
        <v>45758</v>
      </c>
      <c r="C13" s="104"/>
      <c r="D13" s="104"/>
      <c r="E13" s="260" t="s">
        <v>129</v>
      </c>
      <c r="F13" s="259"/>
      <c r="G13" s="74"/>
      <c r="H13" s="74"/>
      <c r="I13" s="74"/>
      <c r="J13" s="74"/>
      <c r="K13" s="74"/>
      <c r="L13" s="74"/>
      <c r="M13" s="74"/>
      <c r="N13" s="74"/>
      <c r="O13" s="74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4" spans="2:44" ht="15" hidden="1" x14ac:dyDescent="0.2">
      <c r="B14" s="104"/>
      <c r="C14" s="104"/>
      <c r="D14" s="104"/>
      <c r="E14" s="222"/>
      <c r="F14" s="222"/>
      <c r="G14" s="74"/>
      <c r="H14" s="74"/>
      <c r="I14" s="74"/>
      <c r="J14" s="74"/>
      <c r="K14" s="74"/>
      <c r="L14" s="74"/>
      <c r="M14" s="74"/>
      <c r="N14" s="74"/>
      <c r="O14" s="74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</row>
    <row r="15" spans="2:44" ht="15" x14ac:dyDescent="0.2">
      <c r="B15" s="104"/>
      <c r="C15" s="104"/>
      <c r="D15" s="104"/>
      <c r="E15" s="222"/>
      <c r="F15" s="222"/>
      <c r="G15" s="74"/>
      <c r="H15" s="74"/>
      <c r="I15" s="74"/>
      <c r="J15" s="74"/>
      <c r="K15" s="74"/>
      <c r="L15" s="74"/>
      <c r="M15" s="74"/>
      <c r="N15" s="74"/>
      <c r="O15" s="74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</row>
    <row r="16" spans="2:44" ht="15" x14ac:dyDescent="0.2">
      <c r="B16" s="129" t="s">
        <v>5</v>
      </c>
      <c r="C16" s="104"/>
      <c r="D16" s="104"/>
      <c r="E16" s="222"/>
      <c r="F16" s="222"/>
      <c r="G16" s="74"/>
      <c r="H16" s="74"/>
      <c r="I16" s="74"/>
      <c r="J16" s="74"/>
      <c r="K16" s="74"/>
      <c r="L16" s="74"/>
      <c r="M16" s="74"/>
      <c r="N16" s="74"/>
      <c r="O16" s="74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</row>
    <row r="17" spans="2:44" ht="15" x14ac:dyDescent="0.2">
      <c r="B17" s="230"/>
      <c r="C17" s="230"/>
      <c r="D17" s="230"/>
      <c r="E17" s="230"/>
      <c r="F17" s="230"/>
      <c r="G17" s="74"/>
      <c r="H17" s="74"/>
      <c r="I17" s="74"/>
      <c r="J17" s="74"/>
      <c r="K17" s="74"/>
      <c r="L17" s="74"/>
      <c r="M17" s="74"/>
      <c r="N17" s="74"/>
      <c r="O17" s="74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</row>
    <row r="18" spans="2:44" ht="15" hidden="1" x14ac:dyDescent="0.2">
      <c r="B18" s="130"/>
      <c r="C18" s="104"/>
      <c r="D18" s="104"/>
      <c r="E18" s="222"/>
      <c r="F18" s="222"/>
      <c r="G18" s="74"/>
      <c r="H18" s="74"/>
      <c r="I18" s="74"/>
      <c r="J18" s="74"/>
      <c r="K18" s="74"/>
      <c r="L18" s="74"/>
      <c r="M18" s="74"/>
      <c r="N18" s="74"/>
      <c r="O18" s="74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</row>
    <row r="19" spans="2:44" ht="15" hidden="1" x14ac:dyDescent="0.2">
      <c r="B19" s="130"/>
      <c r="C19" s="104"/>
      <c r="D19" s="104"/>
      <c r="E19" s="222"/>
      <c r="F19" s="222"/>
      <c r="G19" s="74"/>
      <c r="H19" s="74"/>
      <c r="I19" s="74"/>
      <c r="J19" s="74"/>
      <c r="K19" s="74"/>
      <c r="L19" s="74"/>
      <c r="M19" s="74"/>
      <c r="N19" s="74"/>
      <c r="O19" s="74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</row>
    <row r="20" spans="2:44" ht="15" hidden="1" x14ac:dyDescent="0.2">
      <c r="B20" s="130"/>
      <c r="C20" s="104"/>
      <c r="D20" s="104"/>
      <c r="E20" s="222"/>
      <c r="F20" s="222"/>
      <c r="G20" s="74"/>
      <c r="H20" s="74"/>
      <c r="I20" s="74"/>
      <c r="J20" s="74"/>
      <c r="K20" s="74"/>
      <c r="L20" s="74"/>
      <c r="M20" s="74"/>
      <c r="N20" s="74"/>
      <c r="O20" s="74"/>
    </row>
    <row r="21" spans="2:44" ht="15" hidden="1" x14ac:dyDescent="0.2">
      <c r="B21" s="130"/>
      <c r="C21" s="104"/>
      <c r="D21" s="104"/>
      <c r="E21" s="222"/>
      <c r="F21" s="222"/>
      <c r="G21" s="74"/>
      <c r="H21" s="74"/>
      <c r="I21" s="74"/>
      <c r="J21" s="74"/>
      <c r="K21" s="74"/>
      <c r="L21" s="74"/>
      <c r="M21" s="74"/>
      <c r="N21" s="74"/>
      <c r="O21" s="74"/>
    </row>
    <row r="22" spans="2:44" ht="15" hidden="1" x14ac:dyDescent="0.2">
      <c r="B22" s="130"/>
      <c r="C22" s="104"/>
      <c r="D22" s="104"/>
      <c r="E22" s="222"/>
      <c r="F22" s="222"/>
      <c r="G22" s="74"/>
      <c r="H22" s="74"/>
      <c r="I22" s="74"/>
      <c r="J22" s="74"/>
      <c r="K22" s="74"/>
      <c r="L22" s="74"/>
      <c r="M22" s="74"/>
      <c r="N22" s="74"/>
      <c r="O22" s="74"/>
    </row>
    <row r="23" spans="2:44" ht="15" hidden="1" x14ac:dyDescent="0.2">
      <c r="B23" s="130"/>
      <c r="C23" s="104"/>
      <c r="D23" s="104"/>
      <c r="E23" s="222"/>
      <c r="F23" s="222"/>
      <c r="G23" s="74"/>
      <c r="H23" s="74"/>
      <c r="I23" s="74"/>
      <c r="J23" s="74"/>
      <c r="K23" s="74"/>
      <c r="L23" s="74"/>
      <c r="M23" s="74"/>
      <c r="N23" s="74"/>
      <c r="O23" s="74"/>
    </row>
    <row r="24" spans="2:44" hidden="1" x14ac:dyDescent="0.2">
      <c r="B24" s="130"/>
      <c r="C24" s="86"/>
      <c r="D24" s="86"/>
      <c r="E24" s="221"/>
      <c r="F24" s="221"/>
      <c r="G24" s="197"/>
      <c r="H24" s="196"/>
      <c r="I24" s="196"/>
      <c r="J24" s="196"/>
      <c r="L24" s="82"/>
      <c r="M24" s="196"/>
      <c r="N24" s="82"/>
      <c r="O24" s="78"/>
    </row>
    <row r="25" spans="2:44" hidden="1" x14ac:dyDescent="0.2">
      <c r="B25" s="130"/>
      <c r="C25" s="86"/>
      <c r="D25" s="86"/>
      <c r="E25" s="221"/>
      <c r="F25" s="221"/>
      <c r="G25" s="197"/>
      <c r="H25" s="196"/>
      <c r="I25" s="196"/>
      <c r="J25" s="196"/>
      <c r="L25" s="82"/>
      <c r="M25" s="196"/>
      <c r="N25" s="82"/>
      <c r="O25" s="78"/>
    </row>
    <row r="26" spans="2:44" x14ac:dyDescent="0.2">
      <c r="B26" s="130"/>
      <c r="C26" s="86"/>
      <c r="D26" s="86"/>
      <c r="E26" s="221"/>
      <c r="F26" s="221"/>
      <c r="G26" s="197"/>
      <c r="H26" s="196"/>
      <c r="I26" s="196"/>
      <c r="J26" s="196"/>
      <c r="L26" s="82"/>
      <c r="M26" s="196"/>
      <c r="N26" s="82"/>
      <c r="O26" s="78"/>
    </row>
    <row r="27" spans="2:44" x14ac:dyDescent="0.2">
      <c r="B27" s="244" t="s">
        <v>6</v>
      </c>
      <c r="C27" s="236"/>
      <c r="D27" s="236"/>
      <c r="E27" s="237"/>
      <c r="F27" s="252">
        <f>SUM(F30:F34)</f>
        <v>0</v>
      </c>
      <c r="G27" s="197"/>
      <c r="H27" s="196"/>
      <c r="I27" s="196"/>
      <c r="J27" s="196"/>
      <c r="L27" s="82"/>
      <c r="M27" s="196"/>
      <c r="N27" s="82"/>
      <c r="O27" s="196"/>
    </row>
    <row r="28" spans="2:44" x14ac:dyDescent="0.2">
      <c r="B28" s="64"/>
      <c r="C28" s="245"/>
      <c r="D28" s="245"/>
      <c r="E28" s="223"/>
      <c r="F28" s="223"/>
      <c r="G28" s="197"/>
      <c r="H28" s="196"/>
      <c r="I28" s="196"/>
      <c r="J28" s="196"/>
      <c r="L28" s="82"/>
      <c r="M28" s="196"/>
      <c r="N28" s="82"/>
      <c r="O28" s="196"/>
    </row>
    <row r="29" spans="2:44" x14ac:dyDescent="0.2">
      <c r="B29" s="103" t="s">
        <v>7</v>
      </c>
      <c r="C29" s="246" t="s">
        <v>8</v>
      </c>
      <c r="D29" s="246" t="s">
        <v>9</v>
      </c>
      <c r="E29" s="253" t="s">
        <v>10</v>
      </c>
      <c r="F29" s="253" t="s">
        <v>11</v>
      </c>
      <c r="G29" s="197"/>
      <c r="H29" s="196"/>
      <c r="I29" s="196"/>
      <c r="J29" s="196"/>
      <c r="L29" s="82"/>
      <c r="M29" s="196"/>
      <c r="N29" s="82"/>
      <c r="O29" s="196"/>
    </row>
    <row r="30" spans="2:44" x14ac:dyDescent="0.2">
      <c r="B30" s="28" t="str">
        <f>'BUILDING WORKS'!D11</f>
        <v>Management</v>
      </c>
      <c r="C30" s="87">
        <f>'BUILDING WORKS'!F11</f>
        <v>1</v>
      </c>
      <c r="D30" s="87" t="str">
        <f>'BUILDING WORKS'!G11</f>
        <v>Item</v>
      </c>
      <c r="E30" s="243">
        <f>F30</f>
        <v>0</v>
      </c>
      <c r="F30" s="243">
        <f>'BUILDING WORKS'!M11</f>
        <v>0</v>
      </c>
      <c r="G30" s="197"/>
      <c r="H30" s="196"/>
      <c r="I30" s="196"/>
      <c r="J30" s="196"/>
      <c r="L30" s="82"/>
      <c r="M30" s="196"/>
      <c r="N30" s="82"/>
      <c r="O30" s="196"/>
    </row>
    <row r="31" spans="2:44" x14ac:dyDescent="0.2">
      <c r="B31" s="28" t="str">
        <f>'BUILDING WORKS'!D12</f>
        <v>Segregation</v>
      </c>
      <c r="C31" s="176">
        <f>'BUILDING WORKS'!F12</f>
        <v>1</v>
      </c>
      <c r="D31" s="176" t="str">
        <f>'BUILDING WORKS'!G12</f>
        <v>Item</v>
      </c>
      <c r="E31" s="235">
        <f t="shared" ref="E31:E39" si="0">F31</f>
        <v>0</v>
      </c>
      <c r="F31" s="235">
        <f>'BUILDING WORKS'!M12</f>
        <v>0</v>
      </c>
      <c r="G31" s="197"/>
      <c r="H31" s="196"/>
      <c r="I31" s="196"/>
      <c r="J31" s="196"/>
      <c r="L31" s="82"/>
      <c r="M31" s="196"/>
      <c r="N31" s="82"/>
      <c r="O31" s="196"/>
    </row>
    <row r="32" spans="2:44" x14ac:dyDescent="0.2">
      <c r="B32" s="28" t="str">
        <f>'BUILDING WORKS'!D13</f>
        <v>Waste management</v>
      </c>
      <c r="C32" s="176">
        <f>'BUILDING WORKS'!F13</f>
        <v>1</v>
      </c>
      <c r="D32" s="176" t="str">
        <f>'BUILDING WORKS'!G13</f>
        <v>Item</v>
      </c>
      <c r="E32" s="235">
        <f t="shared" si="0"/>
        <v>0</v>
      </c>
      <c r="F32" s="235">
        <f>'BUILDING WORKS'!M13</f>
        <v>0</v>
      </c>
      <c r="G32" s="197"/>
      <c r="H32" s="196"/>
      <c r="I32" s="196"/>
      <c r="J32" s="196"/>
      <c r="L32" s="82"/>
      <c r="M32" s="196"/>
      <c r="N32" s="82"/>
      <c r="O32" s="196"/>
    </row>
    <row r="33" spans="2:16" x14ac:dyDescent="0.2">
      <c r="B33" s="28">
        <f>'BUILDING WORKS'!D14</f>
        <v>0</v>
      </c>
      <c r="C33" s="176">
        <f>'BUILDING WORKS'!F14</f>
        <v>1</v>
      </c>
      <c r="D33" s="176">
        <f>'BUILDING WORKS'!G14</f>
        <v>0</v>
      </c>
      <c r="E33" s="235">
        <f t="shared" si="0"/>
        <v>0</v>
      </c>
      <c r="F33" s="235">
        <f>'BUILDING WORKS'!M14</f>
        <v>0</v>
      </c>
      <c r="G33" s="197"/>
      <c r="H33" s="196"/>
      <c r="I33" s="196"/>
      <c r="J33" s="196"/>
      <c r="L33" s="82"/>
      <c r="M33" s="196"/>
      <c r="N33" s="82"/>
      <c r="O33" s="196"/>
    </row>
    <row r="34" spans="2:16" x14ac:dyDescent="0.2">
      <c r="B34" s="28">
        <f>'BUILDING WORKS'!D15</f>
        <v>0</v>
      </c>
      <c r="C34" s="176">
        <f>'BUILDING WORKS'!F15</f>
        <v>1</v>
      </c>
      <c r="D34" s="176">
        <f>'BUILDING WORKS'!G15</f>
        <v>0</v>
      </c>
      <c r="E34" s="235">
        <f t="shared" si="0"/>
        <v>0</v>
      </c>
      <c r="F34" s="235">
        <f>'BUILDING WORKS'!M15</f>
        <v>0</v>
      </c>
      <c r="G34" s="197"/>
      <c r="H34" s="196"/>
      <c r="I34" s="196"/>
      <c r="J34" s="196"/>
      <c r="L34" s="82"/>
      <c r="M34" s="196"/>
      <c r="N34" s="82"/>
      <c r="O34" s="196"/>
    </row>
    <row r="35" spans="2:16" x14ac:dyDescent="0.2">
      <c r="B35" s="28">
        <f>'BUILDING WORKS'!D16</f>
        <v>0</v>
      </c>
      <c r="C35" s="176">
        <f>'BUILDING WORKS'!F16</f>
        <v>1</v>
      </c>
      <c r="D35" s="176">
        <f>'BUILDING WORKS'!G16</f>
        <v>0</v>
      </c>
      <c r="E35" s="225">
        <f t="shared" si="0"/>
        <v>0</v>
      </c>
      <c r="F35" s="225">
        <f>'BUILDING WORKS'!M16</f>
        <v>0</v>
      </c>
      <c r="G35" s="197"/>
      <c r="H35" s="196"/>
      <c r="I35" s="196"/>
      <c r="J35" s="196"/>
      <c r="L35" s="82"/>
      <c r="M35" s="196"/>
      <c r="N35" s="82"/>
      <c r="O35" s="196"/>
    </row>
    <row r="36" spans="2:16" x14ac:dyDescent="0.2">
      <c r="B36" s="28">
        <f>'BUILDING WORKS'!D17</f>
        <v>0</v>
      </c>
      <c r="C36" s="176">
        <f>'BUILDING WORKS'!F17</f>
        <v>1</v>
      </c>
      <c r="D36" s="176">
        <f>'BUILDING WORKS'!G17</f>
        <v>0</v>
      </c>
      <c r="E36" s="225">
        <f t="shared" si="0"/>
        <v>0</v>
      </c>
      <c r="F36" s="225">
        <f>'BUILDING WORKS'!M17</f>
        <v>0</v>
      </c>
      <c r="G36" s="197"/>
      <c r="H36" s="196"/>
      <c r="I36" s="196"/>
      <c r="J36" s="196"/>
      <c r="L36" s="82"/>
      <c r="M36" s="196"/>
      <c r="N36" s="82"/>
      <c r="O36" s="196"/>
      <c r="P36" s="82"/>
    </row>
    <row r="37" spans="2:16" x14ac:dyDescent="0.2">
      <c r="B37" s="28">
        <f>'BUILDING WORKS'!D18</f>
        <v>0</v>
      </c>
      <c r="C37" s="176">
        <f>'BUILDING WORKS'!F18</f>
        <v>1</v>
      </c>
      <c r="D37" s="176">
        <f>'BUILDING WORKS'!G18</f>
        <v>0</v>
      </c>
      <c r="E37" s="225">
        <f t="shared" si="0"/>
        <v>0</v>
      </c>
      <c r="F37" s="225">
        <f>'BUILDING WORKS'!M18</f>
        <v>0</v>
      </c>
      <c r="G37" s="197"/>
      <c r="H37" s="196"/>
      <c r="I37" s="196"/>
      <c r="J37" s="196"/>
      <c r="L37" s="82"/>
      <c r="M37" s="196"/>
      <c r="N37" s="82"/>
      <c r="O37" s="196"/>
      <c r="P37" s="82"/>
    </row>
    <row r="38" spans="2:16" x14ac:dyDescent="0.2">
      <c r="B38" s="28">
        <f>'BUILDING WORKS'!D19</f>
        <v>0</v>
      </c>
      <c r="C38" s="176">
        <f>'BUILDING WORKS'!F19</f>
        <v>1</v>
      </c>
      <c r="D38" s="176">
        <f>'BUILDING WORKS'!G19</f>
        <v>0</v>
      </c>
      <c r="E38" s="225">
        <f t="shared" si="0"/>
        <v>0</v>
      </c>
      <c r="F38" s="225">
        <f>'BUILDING WORKS'!M19</f>
        <v>0</v>
      </c>
      <c r="G38" s="197"/>
      <c r="H38" s="196"/>
      <c r="I38" s="196"/>
      <c r="J38" s="196"/>
      <c r="L38" s="82"/>
      <c r="M38" s="196"/>
      <c r="N38" s="82"/>
      <c r="O38" s="196"/>
      <c r="P38" s="82"/>
    </row>
    <row r="39" spans="2:16" x14ac:dyDescent="0.2">
      <c r="B39" s="28">
        <f>'BUILDING WORKS'!D20</f>
        <v>0</v>
      </c>
      <c r="C39" s="176">
        <f>'BUILDING WORKS'!F20</f>
        <v>1</v>
      </c>
      <c r="D39" s="176">
        <f>'BUILDING WORKS'!G20</f>
        <v>0</v>
      </c>
      <c r="E39" s="225">
        <f t="shared" si="0"/>
        <v>0</v>
      </c>
      <c r="F39" s="225">
        <f>'BUILDING WORKS'!M20</f>
        <v>0</v>
      </c>
      <c r="G39" s="197"/>
      <c r="H39" s="196"/>
      <c r="I39" s="196"/>
      <c r="J39" s="196"/>
      <c r="L39" s="82"/>
      <c r="M39" s="196"/>
      <c r="N39" s="82"/>
      <c r="O39" s="196"/>
      <c r="P39" s="82"/>
    </row>
    <row r="40" spans="2:16" x14ac:dyDescent="0.2">
      <c r="B40" s="82"/>
      <c r="C40" s="82"/>
      <c r="D40" s="82"/>
      <c r="E40" s="226"/>
      <c r="F40" s="224"/>
      <c r="G40" s="197"/>
      <c r="H40" s="196"/>
      <c r="I40" s="196"/>
      <c r="J40" s="196"/>
      <c r="L40" s="82"/>
      <c r="M40" s="196"/>
      <c r="N40" s="82"/>
      <c r="O40" s="196"/>
      <c r="P40" s="82"/>
    </row>
    <row r="41" spans="2:16" x14ac:dyDescent="0.2">
      <c r="B41" s="231" t="s">
        <v>127</v>
      </c>
      <c r="C41" s="231"/>
      <c r="D41" s="231"/>
      <c r="E41" s="232"/>
      <c r="F41" s="242">
        <f>SUM(F44:F112)</f>
        <v>0</v>
      </c>
      <c r="G41" s="197"/>
      <c r="H41" s="196"/>
      <c r="I41" s="196"/>
      <c r="J41" s="196"/>
      <c r="L41" s="82"/>
      <c r="M41" s="196"/>
      <c r="N41" s="82"/>
      <c r="O41" s="196"/>
      <c r="P41" s="82"/>
    </row>
    <row r="42" spans="2:16" x14ac:dyDescent="0.2">
      <c r="B42" s="80"/>
      <c r="C42" s="81"/>
      <c r="D42" s="81"/>
      <c r="E42" s="224"/>
      <c r="F42" s="221"/>
      <c r="G42" s="197"/>
      <c r="H42" s="196"/>
      <c r="I42" s="196"/>
      <c r="J42" s="196"/>
      <c r="L42" s="82"/>
      <c r="M42" s="196"/>
      <c r="N42" s="82"/>
      <c r="O42" s="196"/>
      <c r="P42" s="82"/>
    </row>
    <row r="43" spans="2:16" x14ac:dyDescent="0.2">
      <c r="B43" s="80" t="s">
        <v>12</v>
      </c>
      <c r="C43" s="254" t="s">
        <v>8</v>
      </c>
      <c r="D43" s="254" t="s">
        <v>9</v>
      </c>
      <c r="E43" s="255" t="s">
        <v>10</v>
      </c>
      <c r="F43" s="255" t="s">
        <v>11</v>
      </c>
      <c r="G43" s="197"/>
      <c r="H43" s="196"/>
      <c r="I43" s="196"/>
      <c r="J43" s="196"/>
      <c r="L43" s="82"/>
      <c r="M43" s="196"/>
      <c r="N43" s="82"/>
      <c r="O43" s="196"/>
      <c r="P43" s="82"/>
    </row>
    <row r="44" spans="2:16" x14ac:dyDescent="0.2">
      <c r="B44" s="119"/>
      <c r="C44" s="198"/>
      <c r="D44" s="195"/>
      <c r="E44" s="227"/>
      <c r="F44" s="227"/>
      <c r="G44" s="197"/>
      <c r="H44" s="196"/>
      <c r="I44" s="196"/>
      <c r="J44" s="196"/>
      <c r="L44" s="82"/>
      <c r="M44" s="196"/>
      <c r="N44" s="82"/>
      <c r="O44" s="196"/>
      <c r="P44" s="82"/>
    </row>
    <row r="45" spans="2:16" x14ac:dyDescent="0.2">
      <c r="B45" s="119">
        <f>'BUILDING WORKS'!D27</f>
        <v>0</v>
      </c>
      <c r="C45" s="198">
        <f>'BUILDING WORKS'!F27</f>
        <v>1</v>
      </c>
      <c r="D45" s="195">
        <f>'BUILDING WORKS'!G27</f>
        <v>0</v>
      </c>
      <c r="E45" s="234">
        <f>'BUILDING WORKS'!L27</f>
        <v>0</v>
      </c>
      <c r="F45" s="234">
        <f>'BUILDING WORKS'!M27</f>
        <v>0</v>
      </c>
      <c r="G45" s="197"/>
      <c r="H45" s="196"/>
      <c r="I45" s="196"/>
      <c r="J45" s="196"/>
      <c r="L45" s="82"/>
      <c r="M45" s="196"/>
      <c r="N45" s="82"/>
      <c r="O45" s="196"/>
      <c r="P45" s="82"/>
    </row>
    <row r="46" spans="2:16" s="96" customFormat="1" hidden="1" x14ac:dyDescent="0.2">
      <c r="B46" s="119">
        <f>'BUILDING WORKS'!D28</f>
        <v>0</v>
      </c>
      <c r="C46" s="198">
        <f>'BUILDING WORKS'!F28</f>
        <v>1</v>
      </c>
      <c r="D46" s="195">
        <f>'BUILDING WORKS'!G28</f>
        <v>0</v>
      </c>
      <c r="E46" s="234">
        <f>'BUILDING WORKS'!L28</f>
        <v>0</v>
      </c>
      <c r="F46" s="234">
        <f>'BUILDING WORKS'!M28</f>
        <v>0</v>
      </c>
      <c r="G46" s="199"/>
      <c r="H46" s="200"/>
      <c r="I46" s="200"/>
      <c r="J46" s="200"/>
      <c r="K46" s="95"/>
      <c r="L46" s="201"/>
      <c r="M46" s="200"/>
      <c r="N46" s="201"/>
      <c r="O46" s="200"/>
      <c r="P46" s="201"/>
    </row>
    <row r="47" spans="2:16" s="96" customFormat="1" hidden="1" x14ac:dyDescent="0.2">
      <c r="B47" s="119">
        <f>'BUILDING WORKS'!D29</f>
        <v>0</v>
      </c>
      <c r="C47" s="198">
        <f>'BUILDING WORKS'!F29</f>
        <v>1</v>
      </c>
      <c r="D47" s="195">
        <f>'BUILDING WORKS'!G29</f>
        <v>0</v>
      </c>
      <c r="E47" s="234">
        <f>'BUILDING WORKS'!L29</f>
        <v>0</v>
      </c>
      <c r="F47" s="234">
        <f>'BUILDING WORKS'!M29</f>
        <v>0</v>
      </c>
      <c r="G47" s="97"/>
      <c r="H47" s="200"/>
      <c r="I47" s="200"/>
      <c r="J47" s="200"/>
      <c r="K47" s="95"/>
      <c r="L47" s="202"/>
      <c r="M47" s="200"/>
      <c r="N47" s="98"/>
      <c r="O47" s="200"/>
      <c r="P47" s="99"/>
    </row>
    <row r="48" spans="2:16" s="96" customFormat="1" hidden="1" x14ac:dyDescent="0.2">
      <c r="B48" s="119">
        <f>'BUILDING WORKS'!D30</f>
        <v>0</v>
      </c>
      <c r="C48" s="198">
        <f>'BUILDING WORKS'!F30</f>
        <v>1</v>
      </c>
      <c r="D48" s="195">
        <f>'BUILDING WORKS'!G30</f>
        <v>0</v>
      </c>
      <c r="E48" s="234">
        <f>'BUILDING WORKS'!L30</f>
        <v>0</v>
      </c>
      <c r="F48" s="234">
        <f>'BUILDING WORKS'!M30</f>
        <v>0</v>
      </c>
      <c r="G48" s="97"/>
      <c r="H48" s="200"/>
      <c r="I48" s="200"/>
      <c r="J48" s="200"/>
      <c r="K48" s="95"/>
      <c r="L48" s="202"/>
      <c r="M48" s="200"/>
      <c r="N48" s="98"/>
      <c r="O48" s="200"/>
      <c r="P48" s="99"/>
    </row>
    <row r="49" spans="2:16" s="96" customFormat="1" hidden="1" x14ac:dyDescent="0.2">
      <c r="B49" s="119">
        <f>'BUILDING WORKS'!D31</f>
        <v>0</v>
      </c>
      <c r="C49" s="198">
        <f>'BUILDING WORKS'!F31</f>
        <v>1</v>
      </c>
      <c r="D49" s="195">
        <f>'BUILDING WORKS'!G31</f>
        <v>0</v>
      </c>
      <c r="E49" s="234">
        <f>'BUILDING WORKS'!L31</f>
        <v>0</v>
      </c>
      <c r="F49" s="234">
        <f>'BUILDING WORKS'!M31</f>
        <v>0</v>
      </c>
      <c r="G49" s="97"/>
      <c r="H49" s="200"/>
      <c r="I49" s="200"/>
      <c r="J49" s="200"/>
      <c r="K49" s="95"/>
      <c r="L49" s="202"/>
      <c r="M49" s="200"/>
      <c r="N49" s="98"/>
      <c r="O49" s="200"/>
      <c r="P49" s="99"/>
    </row>
    <row r="50" spans="2:16" s="96" customFormat="1" hidden="1" x14ac:dyDescent="0.2">
      <c r="B50" s="119">
        <f>'BUILDING WORKS'!D32</f>
        <v>0</v>
      </c>
      <c r="C50" s="198">
        <f>'BUILDING WORKS'!F32</f>
        <v>1</v>
      </c>
      <c r="D50" s="195">
        <f>'BUILDING WORKS'!G32</f>
        <v>0</v>
      </c>
      <c r="E50" s="234">
        <f>'BUILDING WORKS'!L32</f>
        <v>0</v>
      </c>
      <c r="F50" s="234">
        <f>'BUILDING WORKS'!M32</f>
        <v>0</v>
      </c>
      <c r="G50" s="199"/>
      <c r="H50" s="200"/>
      <c r="I50" s="200"/>
      <c r="J50" s="200"/>
      <c r="K50" s="95"/>
      <c r="L50" s="100"/>
      <c r="M50" s="200"/>
      <c r="N50" s="201"/>
      <c r="O50" s="200"/>
      <c r="P50" s="99"/>
    </row>
    <row r="51" spans="2:16" s="96" customFormat="1" hidden="1" x14ac:dyDescent="0.2">
      <c r="B51" s="119">
        <f>'BUILDING WORKS'!D33</f>
        <v>0</v>
      </c>
      <c r="C51" s="198">
        <f>'BUILDING WORKS'!F33</f>
        <v>1</v>
      </c>
      <c r="D51" s="195">
        <f>'BUILDING WORKS'!G33</f>
        <v>0</v>
      </c>
      <c r="E51" s="234">
        <f>'BUILDING WORKS'!L33</f>
        <v>0</v>
      </c>
      <c r="F51" s="234">
        <f>'BUILDING WORKS'!M33</f>
        <v>0</v>
      </c>
      <c r="G51" s="199"/>
      <c r="H51" s="200"/>
      <c r="I51" s="200"/>
      <c r="J51" s="200"/>
      <c r="K51" s="95"/>
      <c r="L51" s="201"/>
      <c r="M51" s="200"/>
      <c r="N51" s="201"/>
      <c r="O51" s="200"/>
      <c r="P51" s="201"/>
    </row>
    <row r="52" spans="2:16" s="96" customFormat="1" hidden="1" x14ac:dyDescent="0.2">
      <c r="B52" s="119">
        <f>'BUILDING WORKS'!D34</f>
        <v>0</v>
      </c>
      <c r="C52" s="198">
        <f>'BUILDING WORKS'!F34</f>
        <v>1</v>
      </c>
      <c r="D52" s="195">
        <f>'BUILDING WORKS'!G34</f>
        <v>0</v>
      </c>
      <c r="E52" s="234">
        <f>'BUILDING WORKS'!L34</f>
        <v>0</v>
      </c>
      <c r="F52" s="234">
        <f>'BUILDING WORKS'!M34</f>
        <v>0</v>
      </c>
      <c r="G52" s="97"/>
      <c r="H52" s="200"/>
      <c r="I52" s="200"/>
      <c r="J52" s="200"/>
      <c r="K52" s="95"/>
      <c r="L52" s="202"/>
      <c r="M52" s="200"/>
      <c r="N52" s="98"/>
      <c r="O52" s="200"/>
      <c r="P52" s="99"/>
    </row>
    <row r="53" spans="2:16" s="96" customFormat="1" hidden="1" x14ac:dyDescent="0.2">
      <c r="B53" s="119">
        <f>'BUILDING WORKS'!D35</f>
        <v>0</v>
      </c>
      <c r="C53" s="198">
        <f>'BUILDING WORKS'!F35</f>
        <v>1</v>
      </c>
      <c r="D53" s="195">
        <f>'BUILDING WORKS'!G35</f>
        <v>0</v>
      </c>
      <c r="E53" s="234">
        <f>'BUILDING WORKS'!L35</f>
        <v>0</v>
      </c>
      <c r="F53" s="234">
        <f>'BUILDING WORKS'!M35</f>
        <v>0</v>
      </c>
      <c r="G53" s="97"/>
      <c r="H53" s="200"/>
      <c r="I53" s="200"/>
      <c r="J53" s="200"/>
      <c r="K53" s="95"/>
      <c r="L53" s="202"/>
      <c r="M53" s="200"/>
      <c r="N53" s="98"/>
      <c r="O53" s="200"/>
      <c r="P53" s="99"/>
    </row>
    <row r="54" spans="2:16" s="96" customFormat="1" hidden="1" x14ac:dyDescent="0.2">
      <c r="B54" s="119">
        <f>'BUILDING WORKS'!D36</f>
        <v>0</v>
      </c>
      <c r="C54" s="198">
        <f>'BUILDING WORKS'!F36</f>
        <v>1</v>
      </c>
      <c r="D54" s="195">
        <f>'BUILDING WORKS'!G36</f>
        <v>0</v>
      </c>
      <c r="E54" s="234">
        <f>'BUILDING WORKS'!L36</f>
        <v>0</v>
      </c>
      <c r="F54" s="234">
        <f>'BUILDING WORKS'!M36</f>
        <v>0</v>
      </c>
      <c r="G54" s="97"/>
      <c r="H54" s="200"/>
      <c r="I54" s="200"/>
      <c r="J54" s="200"/>
      <c r="K54" s="95"/>
      <c r="L54" s="202"/>
      <c r="M54" s="200"/>
      <c r="N54" s="98"/>
      <c r="O54" s="200"/>
      <c r="P54" s="99"/>
    </row>
    <row r="55" spans="2:16" s="96" customFormat="1" hidden="1" x14ac:dyDescent="0.2">
      <c r="B55" s="119">
        <f>'BUILDING WORKS'!D37</f>
        <v>0</v>
      </c>
      <c r="C55" s="198">
        <f>'BUILDING WORKS'!F37</f>
        <v>1</v>
      </c>
      <c r="D55" s="195">
        <f>'BUILDING WORKS'!G37</f>
        <v>0</v>
      </c>
      <c r="E55" s="234">
        <f>'BUILDING WORKS'!L37</f>
        <v>0</v>
      </c>
      <c r="F55" s="234">
        <f>'BUILDING WORKS'!M37</f>
        <v>0</v>
      </c>
      <c r="G55" s="97"/>
      <c r="H55" s="200"/>
      <c r="I55" s="200"/>
      <c r="J55" s="200"/>
      <c r="K55" s="95"/>
      <c r="L55" s="202"/>
      <c r="M55" s="200"/>
      <c r="N55" s="98"/>
      <c r="O55" s="200"/>
      <c r="P55" s="99"/>
    </row>
    <row r="56" spans="2:16" hidden="1" x14ac:dyDescent="0.2">
      <c r="B56" s="119">
        <f>'BUILDING WORKS'!D38</f>
        <v>0</v>
      </c>
      <c r="C56" s="198">
        <f>'BUILDING WORKS'!F38</f>
        <v>1</v>
      </c>
      <c r="D56" s="195">
        <f>'BUILDING WORKS'!G38</f>
        <v>0</v>
      </c>
      <c r="E56" s="234">
        <f>'BUILDING WORKS'!L38</f>
        <v>0</v>
      </c>
      <c r="F56" s="234">
        <f>'BUILDING WORKS'!M38</f>
        <v>0</v>
      </c>
      <c r="G56" s="83"/>
      <c r="H56" s="196"/>
      <c r="I56" s="196"/>
      <c r="J56" s="196"/>
      <c r="L56" s="203"/>
      <c r="M56" s="196"/>
      <c r="N56" s="77"/>
      <c r="O56" s="196"/>
      <c r="P56" s="84"/>
    </row>
    <row r="57" spans="2:16" hidden="1" x14ac:dyDescent="0.2">
      <c r="B57" s="119">
        <f>'BUILDING WORKS'!D39</f>
        <v>0</v>
      </c>
      <c r="C57" s="198">
        <f>'BUILDING WORKS'!F39</f>
        <v>1</v>
      </c>
      <c r="D57" s="195">
        <f>'BUILDING WORKS'!G39</f>
        <v>0</v>
      </c>
      <c r="E57" s="234">
        <f>'BUILDING WORKS'!L39</f>
        <v>0</v>
      </c>
      <c r="F57" s="234">
        <f>'BUILDING WORKS'!M39</f>
        <v>0</v>
      </c>
      <c r="G57" s="83"/>
      <c r="H57" s="196"/>
      <c r="I57" s="196"/>
      <c r="J57" s="196"/>
      <c r="L57" s="203"/>
      <c r="M57" s="196"/>
      <c r="N57" s="77"/>
      <c r="O57" s="196"/>
      <c r="P57" s="84"/>
    </row>
    <row r="58" spans="2:16" hidden="1" x14ac:dyDescent="0.2">
      <c r="B58" s="119">
        <f>'BUILDING WORKS'!D40</f>
        <v>0</v>
      </c>
      <c r="C58" s="198">
        <f>'BUILDING WORKS'!F40</f>
        <v>1</v>
      </c>
      <c r="D58" s="195">
        <f>'BUILDING WORKS'!G40</f>
        <v>0</v>
      </c>
      <c r="E58" s="234">
        <f>'BUILDING WORKS'!L40</f>
        <v>0</v>
      </c>
      <c r="F58" s="234">
        <f>'BUILDING WORKS'!M40</f>
        <v>0</v>
      </c>
      <c r="G58" s="83"/>
      <c r="H58" s="196"/>
      <c r="I58" s="196"/>
      <c r="J58" s="196"/>
      <c r="L58" s="203"/>
      <c r="M58" s="196"/>
      <c r="N58" s="77"/>
      <c r="O58" s="196"/>
      <c r="P58" s="84"/>
    </row>
    <row r="59" spans="2:16" hidden="1" x14ac:dyDescent="0.2">
      <c r="B59" s="119">
        <f>'BUILDING WORKS'!D41</f>
        <v>0</v>
      </c>
      <c r="C59" s="198">
        <f>'BUILDING WORKS'!F41</f>
        <v>1</v>
      </c>
      <c r="D59" s="195">
        <f>'BUILDING WORKS'!G41</f>
        <v>0</v>
      </c>
      <c r="E59" s="234">
        <f>'BUILDING WORKS'!L41</f>
        <v>0</v>
      </c>
      <c r="F59" s="234">
        <f>'BUILDING WORKS'!M41</f>
        <v>0</v>
      </c>
      <c r="G59" s="83"/>
      <c r="H59" s="196"/>
      <c r="I59" s="196"/>
      <c r="J59" s="196"/>
      <c r="L59" s="203"/>
      <c r="M59" s="196"/>
      <c r="N59" s="77"/>
      <c r="O59" s="196"/>
      <c r="P59" s="84"/>
    </row>
    <row r="60" spans="2:16" hidden="1" x14ac:dyDescent="0.2">
      <c r="B60" s="119">
        <f>'BUILDING WORKS'!D42</f>
        <v>0</v>
      </c>
      <c r="C60" s="198">
        <f>'BUILDING WORKS'!F42</f>
        <v>1</v>
      </c>
      <c r="D60" s="195">
        <f>'BUILDING WORKS'!G42</f>
        <v>0</v>
      </c>
      <c r="E60" s="234">
        <f>'BUILDING WORKS'!L42</f>
        <v>0</v>
      </c>
      <c r="F60" s="234">
        <f>'BUILDING WORKS'!M42</f>
        <v>0</v>
      </c>
      <c r="G60" s="83"/>
      <c r="H60" s="196"/>
      <c r="I60" s="196"/>
      <c r="J60" s="196"/>
      <c r="L60" s="203"/>
      <c r="M60" s="196"/>
      <c r="N60" s="77"/>
      <c r="O60" s="196"/>
      <c r="P60" s="84"/>
    </row>
    <row r="61" spans="2:16" hidden="1" x14ac:dyDescent="0.2">
      <c r="B61" s="119">
        <f>'BUILDING WORKS'!D43</f>
        <v>0</v>
      </c>
      <c r="C61" s="198">
        <f>'BUILDING WORKS'!F43</f>
        <v>1</v>
      </c>
      <c r="D61" s="195">
        <f>'BUILDING WORKS'!G43</f>
        <v>0</v>
      </c>
      <c r="E61" s="234">
        <f>'BUILDING WORKS'!L43</f>
        <v>0</v>
      </c>
      <c r="F61" s="234">
        <f>'BUILDING WORKS'!M43</f>
        <v>0</v>
      </c>
      <c r="G61" s="83"/>
      <c r="H61" s="196"/>
      <c r="I61" s="196"/>
      <c r="J61" s="196"/>
      <c r="L61" s="203"/>
      <c r="M61" s="196"/>
      <c r="N61" s="77"/>
      <c r="O61" s="196"/>
      <c r="P61" s="84"/>
    </row>
    <row r="62" spans="2:16" hidden="1" x14ac:dyDescent="0.2">
      <c r="B62" s="119">
        <f>'BUILDING WORKS'!D44</f>
        <v>0</v>
      </c>
      <c r="C62" s="198">
        <f>'BUILDING WORKS'!F44</f>
        <v>1</v>
      </c>
      <c r="D62" s="195">
        <f>'BUILDING WORKS'!G44</f>
        <v>0</v>
      </c>
      <c r="E62" s="234">
        <f>'BUILDING WORKS'!L44</f>
        <v>0</v>
      </c>
      <c r="F62" s="234">
        <f>'BUILDING WORKS'!M44</f>
        <v>0</v>
      </c>
      <c r="G62" s="83"/>
      <c r="H62" s="196"/>
      <c r="I62" s="196"/>
      <c r="J62" s="196"/>
      <c r="L62" s="203"/>
      <c r="M62" s="196"/>
      <c r="N62" s="77"/>
      <c r="O62" s="196"/>
      <c r="P62" s="84"/>
    </row>
    <row r="63" spans="2:16" hidden="1" x14ac:dyDescent="0.2">
      <c r="B63" s="119">
        <f>'BUILDING WORKS'!D45</f>
        <v>0</v>
      </c>
      <c r="C63" s="198">
        <f>'BUILDING WORKS'!F45</f>
        <v>1</v>
      </c>
      <c r="D63" s="195">
        <f>'BUILDING WORKS'!G45</f>
        <v>0</v>
      </c>
      <c r="E63" s="234">
        <f>'BUILDING WORKS'!L45</f>
        <v>0</v>
      </c>
      <c r="F63" s="234">
        <f>'BUILDING WORKS'!M45</f>
        <v>0</v>
      </c>
      <c r="G63" s="83"/>
      <c r="H63" s="196"/>
      <c r="I63" s="196"/>
      <c r="J63" s="196"/>
      <c r="L63" s="203"/>
      <c r="M63" s="196"/>
      <c r="N63" s="77"/>
      <c r="O63" s="196"/>
      <c r="P63" s="84"/>
    </row>
    <row r="64" spans="2:16" hidden="1" x14ac:dyDescent="0.2">
      <c r="B64" s="119">
        <f>'BUILDING WORKS'!D46</f>
        <v>0</v>
      </c>
      <c r="C64" s="198">
        <f>'BUILDING WORKS'!F46</f>
        <v>1</v>
      </c>
      <c r="D64" s="195">
        <f>'BUILDING WORKS'!G46</f>
        <v>0</v>
      </c>
      <c r="E64" s="234">
        <f>'BUILDING WORKS'!L46</f>
        <v>0</v>
      </c>
      <c r="F64" s="234">
        <f>'BUILDING WORKS'!M46</f>
        <v>0</v>
      </c>
      <c r="G64" s="83"/>
      <c r="H64" s="196"/>
      <c r="I64" s="196"/>
      <c r="J64" s="196"/>
      <c r="L64" s="203"/>
      <c r="M64" s="196"/>
      <c r="N64" s="77"/>
      <c r="O64" s="196"/>
      <c r="P64" s="84"/>
    </row>
    <row r="65" spans="2:16" hidden="1" x14ac:dyDescent="0.2">
      <c r="B65" s="119">
        <f>'BUILDING WORKS'!D47</f>
        <v>0</v>
      </c>
      <c r="C65" s="198">
        <f>'BUILDING WORKS'!F47</f>
        <v>1</v>
      </c>
      <c r="D65" s="195">
        <f>'BUILDING WORKS'!G47</f>
        <v>0</v>
      </c>
      <c r="E65" s="234">
        <f>'BUILDING WORKS'!L47</f>
        <v>0</v>
      </c>
      <c r="F65" s="234">
        <f>'BUILDING WORKS'!M47</f>
        <v>0</v>
      </c>
      <c r="G65" s="83"/>
      <c r="H65" s="196"/>
      <c r="I65" s="196"/>
      <c r="J65" s="196"/>
      <c r="L65" s="203"/>
      <c r="M65" s="196"/>
      <c r="N65" s="77"/>
      <c r="O65" s="196"/>
      <c r="P65" s="84"/>
    </row>
    <row r="66" spans="2:16" hidden="1" x14ac:dyDescent="0.2">
      <c r="B66" s="119">
        <f>'BUILDING WORKS'!D48</f>
        <v>0</v>
      </c>
      <c r="C66" s="198">
        <f>'BUILDING WORKS'!F48</f>
        <v>1</v>
      </c>
      <c r="D66" s="195">
        <f>'BUILDING WORKS'!G48</f>
        <v>0</v>
      </c>
      <c r="E66" s="234">
        <f>'BUILDING WORKS'!L48</f>
        <v>0</v>
      </c>
      <c r="F66" s="234">
        <f>'BUILDING WORKS'!M48</f>
        <v>0</v>
      </c>
      <c r="G66" s="83"/>
      <c r="H66" s="196"/>
      <c r="I66" s="196"/>
      <c r="J66" s="196"/>
      <c r="L66" s="203"/>
      <c r="M66" s="196"/>
      <c r="N66" s="77"/>
      <c r="O66" s="196"/>
      <c r="P66" s="84"/>
    </row>
    <row r="67" spans="2:16" hidden="1" x14ac:dyDescent="0.2">
      <c r="B67" s="119">
        <f>'BUILDING WORKS'!D49</f>
        <v>0</v>
      </c>
      <c r="C67" s="198">
        <f>'BUILDING WORKS'!F49</f>
        <v>1</v>
      </c>
      <c r="D67" s="195">
        <f>'BUILDING WORKS'!G49</f>
        <v>0</v>
      </c>
      <c r="E67" s="234">
        <f>'BUILDING WORKS'!L49</f>
        <v>0</v>
      </c>
      <c r="F67" s="234">
        <f>'BUILDING WORKS'!M49</f>
        <v>0</v>
      </c>
      <c r="G67" s="83"/>
      <c r="H67" s="196"/>
      <c r="I67" s="196"/>
      <c r="J67" s="196"/>
      <c r="L67" s="203"/>
      <c r="M67" s="196"/>
      <c r="N67" s="77"/>
      <c r="O67" s="196"/>
      <c r="P67" s="84"/>
    </row>
    <row r="68" spans="2:16" hidden="1" x14ac:dyDescent="0.2">
      <c r="B68" s="119">
        <f>'BUILDING WORKS'!D50</f>
        <v>0</v>
      </c>
      <c r="C68" s="198">
        <f>'BUILDING WORKS'!F50</f>
        <v>1</v>
      </c>
      <c r="D68" s="195">
        <f>'BUILDING WORKS'!G50</f>
        <v>0</v>
      </c>
      <c r="E68" s="227">
        <f>'BUILDING WORKS'!L50</f>
        <v>0</v>
      </c>
      <c r="F68" s="227">
        <f>'BUILDING WORKS'!M50</f>
        <v>0</v>
      </c>
      <c r="G68" s="83"/>
      <c r="H68" s="196"/>
      <c r="I68" s="196"/>
      <c r="J68" s="196"/>
      <c r="L68" s="203"/>
      <c r="M68" s="196"/>
      <c r="N68" s="77"/>
      <c r="O68" s="196"/>
      <c r="P68" s="84"/>
    </row>
    <row r="69" spans="2:16" hidden="1" x14ac:dyDescent="0.2">
      <c r="B69" s="119">
        <f>'BUILDING WORKS'!D51</f>
        <v>0</v>
      </c>
      <c r="C69" s="198">
        <f>'BUILDING WORKS'!F51</f>
        <v>1</v>
      </c>
      <c r="D69" s="195">
        <f>'BUILDING WORKS'!G51</f>
        <v>0</v>
      </c>
      <c r="E69" s="227">
        <f>'BUILDING WORKS'!L51</f>
        <v>0</v>
      </c>
      <c r="F69" s="227">
        <f>'BUILDING WORKS'!M51</f>
        <v>0</v>
      </c>
      <c r="G69" s="83"/>
      <c r="H69" s="196"/>
      <c r="I69" s="196"/>
      <c r="J69" s="196"/>
      <c r="L69" s="203"/>
      <c r="M69" s="196"/>
      <c r="N69" s="77"/>
      <c r="O69" s="196"/>
      <c r="P69" s="84"/>
    </row>
    <row r="70" spans="2:16" hidden="1" x14ac:dyDescent="0.2">
      <c r="B70" s="119">
        <f>'BUILDING WORKS'!D52</f>
        <v>0</v>
      </c>
      <c r="C70" s="198">
        <f>'BUILDING WORKS'!F52</f>
        <v>1</v>
      </c>
      <c r="D70" s="195">
        <f>'BUILDING WORKS'!G52</f>
        <v>0</v>
      </c>
      <c r="E70" s="227">
        <f>'BUILDING WORKS'!L52</f>
        <v>0</v>
      </c>
      <c r="F70" s="227">
        <f>'BUILDING WORKS'!M52</f>
        <v>0</v>
      </c>
      <c r="G70" s="83"/>
      <c r="H70" s="196"/>
      <c r="I70" s="196"/>
      <c r="J70" s="196"/>
      <c r="L70" s="203"/>
      <c r="M70" s="196"/>
      <c r="N70" s="77"/>
      <c r="O70" s="196"/>
      <c r="P70" s="84"/>
    </row>
    <row r="71" spans="2:16" hidden="1" x14ac:dyDescent="0.2">
      <c r="B71" s="119">
        <f>'BUILDING WORKS'!D53</f>
        <v>0</v>
      </c>
      <c r="C71" s="198">
        <f>'BUILDING WORKS'!F53</f>
        <v>1</v>
      </c>
      <c r="D71" s="195">
        <f>'BUILDING WORKS'!G53</f>
        <v>0</v>
      </c>
      <c r="E71" s="227">
        <f>'BUILDING WORKS'!L53</f>
        <v>0</v>
      </c>
      <c r="F71" s="227">
        <f>'BUILDING WORKS'!M53</f>
        <v>0</v>
      </c>
      <c r="G71" s="83"/>
      <c r="H71" s="196"/>
      <c r="I71" s="196"/>
      <c r="J71" s="196"/>
      <c r="L71" s="203"/>
      <c r="M71" s="196"/>
      <c r="N71" s="77"/>
      <c r="O71" s="196"/>
      <c r="P71" s="84"/>
    </row>
    <row r="72" spans="2:16" hidden="1" x14ac:dyDescent="0.2">
      <c r="B72" s="119">
        <f>'BUILDING WORKS'!D54</f>
        <v>0</v>
      </c>
      <c r="C72" s="198">
        <f>'BUILDING WORKS'!F54</f>
        <v>1</v>
      </c>
      <c r="D72" s="195">
        <f>'BUILDING WORKS'!G54</f>
        <v>0</v>
      </c>
      <c r="E72" s="227">
        <f>'BUILDING WORKS'!L54</f>
        <v>0</v>
      </c>
      <c r="F72" s="227">
        <f>'BUILDING WORKS'!M54</f>
        <v>0</v>
      </c>
      <c r="G72" s="83"/>
      <c r="H72" s="196"/>
      <c r="I72" s="196"/>
      <c r="J72" s="196"/>
      <c r="L72" s="203"/>
      <c r="M72" s="196"/>
      <c r="N72" s="77"/>
      <c r="O72" s="196"/>
      <c r="P72" s="84"/>
    </row>
    <row r="73" spans="2:16" hidden="1" x14ac:dyDescent="0.2">
      <c r="B73" s="119">
        <f>'BUILDING WORKS'!D55</f>
        <v>0</v>
      </c>
      <c r="C73" s="198">
        <f>'BUILDING WORKS'!F55</f>
        <v>1</v>
      </c>
      <c r="D73" s="195">
        <f>'BUILDING WORKS'!G55</f>
        <v>0</v>
      </c>
      <c r="E73" s="227">
        <f>'BUILDING WORKS'!L55</f>
        <v>0</v>
      </c>
      <c r="F73" s="227">
        <f>'BUILDING WORKS'!M55</f>
        <v>0</v>
      </c>
      <c r="G73" s="83"/>
      <c r="H73" s="196"/>
      <c r="I73" s="196"/>
      <c r="J73" s="196"/>
      <c r="L73" s="203"/>
      <c r="M73" s="196"/>
      <c r="N73" s="77"/>
      <c r="O73" s="196"/>
      <c r="P73" s="84"/>
    </row>
    <row r="74" spans="2:16" hidden="1" x14ac:dyDescent="0.2">
      <c r="B74" s="119">
        <f>'BUILDING WORKS'!D56</f>
        <v>0</v>
      </c>
      <c r="C74" s="198">
        <f>'BUILDING WORKS'!F56</f>
        <v>1</v>
      </c>
      <c r="D74" s="195">
        <f>'BUILDING WORKS'!G56</f>
        <v>0</v>
      </c>
      <c r="E74" s="227">
        <f>'BUILDING WORKS'!L56</f>
        <v>0</v>
      </c>
      <c r="F74" s="227">
        <f>'BUILDING WORKS'!M56</f>
        <v>0</v>
      </c>
      <c r="G74" s="83"/>
      <c r="H74" s="196"/>
      <c r="I74" s="196"/>
      <c r="J74" s="196"/>
      <c r="L74" s="203"/>
      <c r="M74" s="196"/>
      <c r="N74" s="77"/>
      <c r="O74" s="196"/>
      <c r="P74" s="84"/>
    </row>
    <row r="75" spans="2:16" hidden="1" x14ac:dyDescent="0.2">
      <c r="B75" s="119">
        <f>'BUILDING WORKS'!D57</f>
        <v>0</v>
      </c>
      <c r="C75" s="198">
        <f>'BUILDING WORKS'!F57</f>
        <v>1</v>
      </c>
      <c r="D75" s="195">
        <f>'BUILDING WORKS'!G57</f>
        <v>0</v>
      </c>
      <c r="E75" s="227">
        <f>'BUILDING WORKS'!L57</f>
        <v>0</v>
      </c>
      <c r="F75" s="227">
        <f>'BUILDING WORKS'!M57</f>
        <v>0</v>
      </c>
      <c r="G75" s="83"/>
      <c r="H75" s="196"/>
      <c r="I75" s="196"/>
      <c r="J75" s="196"/>
      <c r="L75" s="203"/>
      <c r="M75" s="196"/>
      <c r="N75" s="77"/>
      <c r="O75" s="196"/>
      <c r="P75" s="84"/>
    </row>
    <row r="76" spans="2:16" hidden="1" x14ac:dyDescent="0.2">
      <c r="B76" s="119">
        <f>'BUILDING WORKS'!D58</f>
        <v>0</v>
      </c>
      <c r="C76" s="198">
        <f>'BUILDING WORKS'!F58</f>
        <v>1</v>
      </c>
      <c r="D76" s="195">
        <f>'BUILDING WORKS'!G58</f>
        <v>0</v>
      </c>
      <c r="E76" s="227">
        <f>'BUILDING WORKS'!L58</f>
        <v>0</v>
      </c>
      <c r="F76" s="227">
        <f>'BUILDING WORKS'!M58</f>
        <v>0</v>
      </c>
      <c r="G76" s="83"/>
      <c r="H76" s="196"/>
      <c r="I76" s="196"/>
      <c r="J76" s="196"/>
      <c r="L76" s="203"/>
      <c r="M76" s="196"/>
      <c r="N76" s="77"/>
      <c r="O76" s="196"/>
      <c r="P76" s="84"/>
    </row>
    <row r="77" spans="2:16" hidden="1" x14ac:dyDescent="0.2">
      <c r="B77" s="119">
        <f>'BUILDING WORKS'!D59</f>
        <v>0</v>
      </c>
      <c r="C77" s="198">
        <f>'BUILDING WORKS'!F59</f>
        <v>1</v>
      </c>
      <c r="D77" s="195">
        <f>'BUILDING WORKS'!G59</f>
        <v>0</v>
      </c>
      <c r="E77" s="227">
        <f>'BUILDING WORKS'!L59</f>
        <v>0</v>
      </c>
      <c r="F77" s="227">
        <f>'BUILDING WORKS'!M59</f>
        <v>0</v>
      </c>
      <c r="G77" s="83"/>
      <c r="H77" s="196"/>
      <c r="I77" s="196"/>
      <c r="J77" s="196"/>
      <c r="L77" s="203"/>
      <c r="M77" s="196"/>
      <c r="N77" s="77"/>
      <c r="O77" s="196"/>
      <c r="P77" s="84"/>
    </row>
    <row r="78" spans="2:16" hidden="1" x14ac:dyDescent="0.2">
      <c r="B78" s="119">
        <f>'BUILDING WORKS'!D60</f>
        <v>0</v>
      </c>
      <c r="C78" s="198">
        <f>'BUILDING WORKS'!F60</f>
        <v>1</v>
      </c>
      <c r="D78" s="195">
        <f>'BUILDING WORKS'!G60</f>
        <v>0</v>
      </c>
      <c r="E78" s="227">
        <f>'BUILDING WORKS'!L60</f>
        <v>0</v>
      </c>
      <c r="F78" s="227">
        <f>'BUILDING WORKS'!M60</f>
        <v>0</v>
      </c>
      <c r="G78" s="83"/>
      <c r="H78" s="196"/>
      <c r="I78" s="196"/>
      <c r="J78" s="196"/>
      <c r="L78" s="203"/>
      <c r="M78" s="196"/>
      <c r="N78" s="77"/>
      <c r="O78" s="196"/>
      <c r="P78" s="84"/>
    </row>
    <row r="79" spans="2:16" hidden="1" x14ac:dyDescent="0.2">
      <c r="B79" s="119">
        <f>'BUILDING WORKS'!D61</f>
        <v>0</v>
      </c>
      <c r="C79" s="198">
        <f>'BUILDING WORKS'!F61</f>
        <v>1</v>
      </c>
      <c r="D79" s="195">
        <f>'BUILDING WORKS'!G61</f>
        <v>0</v>
      </c>
      <c r="E79" s="227">
        <f>'BUILDING WORKS'!L61</f>
        <v>0</v>
      </c>
      <c r="F79" s="227">
        <f>'BUILDING WORKS'!M61</f>
        <v>0</v>
      </c>
      <c r="G79" s="83"/>
      <c r="H79" s="196"/>
      <c r="I79" s="196"/>
      <c r="J79" s="196"/>
      <c r="L79" s="203"/>
      <c r="M79" s="196"/>
      <c r="N79" s="77"/>
      <c r="O79" s="196"/>
      <c r="P79" s="84"/>
    </row>
    <row r="80" spans="2:16" hidden="1" x14ac:dyDescent="0.2">
      <c r="B80" s="119">
        <f>'BUILDING WORKS'!D62</f>
        <v>0</v>
      </c>
      <c r="C80" s="198">
        <f>'BUILDING WORKS'!F62</f>
        <v>1</v>
      </c>
      <c r="D80" s="195">
        <f>'BUILDING WORKS'!G62</f>
        <v>0</v>
      </c>
      <c r="E80" s="227">
        <f>'BUILDING WORKS'!L62</f>
        <v>0</v>
      </c>
      <c r="F80" s="227">
        <f>'BUILDING WORKS'!M62</f>
        <v>0</v>
      </c>
      <c r="G80" s="83"/>
      <c r="H80" s="196"/>
      <c r="I80" s="196"/>
      <c r="J80" s="196"/>
      <c r="L80" s="203"/>
      <c r="M80" s="196"/>
      <c r="N80" s="77"/>
      <c r="O80" s="196"/>
      <c r="P80" s="84"/>
    </row>
    <row r="81" spans="2:16" hidden="1" x14ac:dyDescent="0.2">
      <c r="B81" s="119">
        <f>'BUILDING WORKS'!D63</f>
        <v>0</v>
      </c>
      <c r="C81" s="198">
        <f>'BUILDING WORKS'!F63</f>
        <v>1</v>
      </c>
      <c r="D81" s="195">
        <f>'BUILDING WORKS'!G63</f>
        <v>0</v>
      </c>
      <c r="E81" s="227">
        <f>'BUILDING WORKS'!L63</f>
        <v>0</v>
      </c>
      <c r="F81" s="227">
        <f>'BUILDING WORKS'!M63</f>
        <v>0</v>
      </c>
      <c r="G81" s="83"/>
      <c r="H81" s="196"/>
      <c r="I81" s="196"/>
      <c r="J81" s="196"/>
      <c r="L81" s="203"/>
      <c r="M81" s="196"/>
      <c r="N81" s="77"/>
      <c r="O81" s="196"/>
      <c r="P81" s="84"/>
    </row>
    <row r="82" spans="2:16" hidden="1" x14ac:dyDescent="0.2">
      <c r="B82" s="119">
        <f>'BUILDING WORKS'!D64</f>
        <v>0</v>
      </c>
      <c r="C82" s="198">
        <f>'BUILDING WORKS'!F64</f>
        <v>1</v>
      </c>
      <c r="D82" s="195">
        <f>'BUILDING WORKS'!G64</f>
        <v>0</v>
      </c>
      <c r="E82" s="227">
        <f>'BUILDING WORKS'!L64</f>
        <v>0</v>
      </c>
      <c r="F82" s="227">
        <f>'BUILDING WORKS'!M64</f>
        <v>0</v>
      </c>
      <c r="G82" s="83"/>
      <c r="H82" s="196"/>
      <c r="I82" s="196"/>
      <c r="J82" s="196"/>
      <c r="L82" s="203"/>
      <c r="M82" s="196"/>
      <c r="N82" s="77"/>
      <c r="O82" s="196"/>
      <c r="P82" s="84"/>
    </row>
    <row r="83" spans="2:16" hidden="1" x14ac:dyDescent="0.2">
      <c r="B83" s="119">
        <f>'BUILDING WORKS'!D65</f>
        <v>0</v>
      </c>
      <c r="C83" s="198">
        <f>'BUILDING WORKS'!F65</f>
        <v>1</v>
      </c>
      <c r="D83" s="195">
        <f>'BUILDING WORKS'!G65</f>
        <v>0</v>
      </c>
      <c r="E83" s="227">
        <f>'BUILDING WORKS'!L65</f>
        <v>0</v>
      </c>
      <c r="F83" s="227">
        <f>'BUILDING WORKS'!M65</f>
        <v>0</v>
      </c>
      <c r="G83" s="83"/>
      <c r="H83" s="196"/>
      <c r="I83" s="196"/>
      <c r="J83" s="196"/>
      <c r="L83" s="203"/>
      <c r="M83" s="196"/>
      <c r="N83" s="77"/>
      <c r="O83" s="196"/>
      <c r="P83" s="84"/>
    </row>
    <row r="84" spans="2:16" hidden="1" x14ac:dyDescent="0.2">
      <c r="B84" s="119">
        <f>'BUILDING WORKS'!D66</f>
        <v>0</v>
      </c>
      <c r="C84" s="198">
        <f>'BUILDING WORKS'!F66</f>
        <v>1</v>
      </c>
      <c r="D84" s="195">
        <f>'BUILDING WORKS'!G66</f>
        <v>0</v>
      </c>
      <c r="E84" s="227">
        <f>'BUILDING WORKS'!L66</f>
        <v>0</v>
      </c>
      <c r="F84" s="227">
        <f>'BUILDING WORKS'!M66</f>
        <v>0</v>
      </c>
      <c r="G84" s="83"/>
      <c r="H84" s="196"/>
      <c r="I84" s="196"/>
      <c r="J84" s="196"/>
      <c r="L84" s="203"/>
      <c r="M84" s="196"/>
      <c r="N84" s="77"/>
      <c r="O84" s="196"/>
      <c r="P84" s="84"/>
    </row>
    <row r="85" spans="2:16" hidden="1" x14ac:dyDescent="0.2">
      <c r="B85" s="119">
        <f>'BUILDING WORKS'!D67</f>
        <v>0</v>
      </c>
      <c r="C85" s="198">
        <f>'BUILDING WORKS'!F67</f>
        <v>1</v>
      </c>
      <c r="D85" s="195">
        <f>'BUILDING WORKS'!G67</f>
        <v>0</v>
      </c>
      <c r="E85" s="227">
        <f>'BUILDING WORKS'!L67</f>
        <v>0</v>
      </c>
      <c r="F85" s="227">
        <f>'BUILDING WORKS'!M67</f>
        <v>0</v>
      </c>
      <c r="G85" s="83"/>
      <c r="H85" s="196"/>
      <c r="I85" s="196"/>
      <c r="J85" s="196"/>
      <c r="L85" s="203"/>
      <c r="M85" s="196"/>
      <c r="N85" s="77"/>
      <c r="O85" s="196"/>
      <c r="P85" s="84"/>
    </row>
    <row r="86" spans="2:16" hidden="1" x14ac:dyDescent="0.2">
      <c r="B86" s="119">
        <f>'BUILDING WORKS'!D68</f>
        <v>0</v>
      </c>
      <c r="C86" s="198">
        <f>'BUILDING WORKS'!F68</f>
        <v>1</v>
      </c>
      <c r="D86" s="195">
        <f>'BUILDING WORKS'!G68</f>
        <v>0</v>
      </c>
      <c r="E86" s="227">
        <f>'BUILDING WORKS'!L68</f>
        <v>0</v>
      </c>
      <c r="F86" s="227">
        <f>'BUILDING WORKS'!M68</f>
        <v>0</v>
      </c>
      <c r="G86" s="83"/>
      <c r="H86" s="196"/>
      <c r="I86" s="196"/>
      <c r="J86" s="196"/>
      <c r="L86" s="203"/>
      <c r="M86" s="196"/>
      <c r="N86" s="77"/>
      <c r="O86" s="196"/>
      <c r="P86" s="84"/>
    </row>
    <row r="87" spans="2:16" hidden="1" x14ac:dyDescent="0.2">
      <c r="B87" s="119">
        <f>'BUILDING WORKS'!D69</f>
        <v>0</v>
      </c>
      <c r="C87" s="198">
        <f>'BUILDING WORKS'!F69</f>
        <v>1</v>
      </c>
      <c r="D87" s="195">
        <f>'BUILDING WORKS'!G69</f>
        <v>0</v>
      </c>
      <c r="E87" s="227">
        <f>'BUILDING WORKS'!L69</f>
        <v>0</v>
      </c>
      <c r="F87" s="227">
        <f>'BUILDING WORKS'!M69</f>
        <v>0</v>
      </c>
      <c r="G87" s="83"/>
      <c r="H87" s="196"/>
      <c r="I87" s="196"/>
      <c r="J87" s="196"/>
      <c r="L87" s="203"/>
      <c r="M87" s="196"/>
      <c r="N87" s="77"/>
      <c r="O87" s="196"/>
      <c r="P87" s="84"/>
    </row>
    <row r="88" spans="2:16" hidden="1" x14ac:dyDescent="0.2">
      <c r="B88" s="119">
        <f>'BUILDING WORKS'!D70</f>
        <v>0</v>
      </c>
      <c r="C88" s="198">
        <f>'BUILDING WORKS'!F70</f>
        <v>1</v>
      </c>
      <c r="D88" s="195">
        <f>'BUILDING WORKS'!G70</f>
        <v>0</v>
      </c>
      <c r="E88" s="227">
        <f>'BUILDING WORKS'!L70</f>
        <v>0</v>
      </c>
      <c r="F88" s="227">
        <f>'BUILDING WORKS'!M70</f>
        <v>0</v>
      </c>
      <c r="G88" s="83"/>
      <c r="H88" s="196"/>
      <c r="I88" s="196"/>
      <c r="J88" s="196"/>
      <c r="L88" s="203"/>
      <c r="M88" s="196"/>
      <c r="N88" s="77"/>
      <c r="O88" s="196"/>
      <c r="P88" s="84"/>
    </row>
    <row r="89" spans="2:16" hidden="1" x14ac:dyDescent="0.2">
      <c r="B89" s="119">
        <f>'BUILDING WORKS'!D71</f>
        <v>0</v>
      </c>
      <c r="C89" s="198">
        <f>'BUILDING WORKS'!F71</f>
        <v>1</v>
      </c>
      <c r="D89" s="195">
        <f>'BUILDING WORKS'!G71</f>
        <v>0</v>
      </c>
      <c r="E89" s="227">
        <f>'BUILDING WORKS'!L71</f>
        <v>0</v>
      </c>
      <c r="F89" s="227">
        <f>'BUILDING WORKS'!M71</f>
        <v>0</v>
      </c>
      <c r="G89" s="83"/>
      <c r="H89" s="196"/>
      <c r="I89" s="196"/>
      <c r="J89" s="196"/>
      <c r="L89" s="203"/>
      <c r="M89" s="196"/>
      <c r="N89" s="77"/>
      <c r="O89" s="196"/>
      <c r="P89" s="84"/>
    </row>
    <row r="90" spans="2:16" hidden="1" x14ac:dyDescent="0.2">
      <c r="B90" s="119">
        <f>'BUILDING WORKS'!D72</f>
        <v>0</v>
      </c>
      <c r="C90" s="198">
        <f>'BUILDING WORKS'!F72</f>
        <v>1</v>
      </c>
      <c r="D90" s="195">
        <f>'BUILDING WORKS'!G72</f>
        <v>0</v>
      </c>
      <c r="E90" s="227">
        <f>'BUILDING WORKS'!L72</f>
        <v>0</v>
      </c>
      <c r="F90" s="227">
        <f>'BUILDING WORKS'!M72</f>
        <v>0</v>
      </c>
      <c r="G90" s="83"/>
      <c r="H90" s="196"/>
      <c r="I90" s="196"/>
      <c r="J90" s="196"/>
      <c r="L90" s="203"/>
      <c r="M90" s="196"/>
      <c r="N90" s="77"/>
      <c r="O90" s="196"/>
      <c r="P90" s="84"/>
    </row>
    <row r="91" spans="2:16" hidden="1" x14ac:dyDescent="0.2">
      <c r="B91" s="119">
        <f>'BUILDING WORKS'!D73</f>
        <v>0</v>
      </c>
      <c r="C91" s="198">
        <f>'BUILDING WORKS'!F73</f>
        <v>1</v>
      </c>
      <c r="D91" s="195">
        <f>'BUILDING WORKS'!G73</f>
        <v>0</v>
      </c>
      <c r="E91" s="227">
        <f>'BUILDING WORKS'!L73</f>
        <v>0</v>
      </c>
      <c r="F91" s="227">
        <f>'BUILDING WORKS'!M73</f>
        <v>0</v>
      </c>
      <c r="G91" s="83"/>
      <c r="H91" s="196"/>
      <c r="I91" s="196"/>
      <c r="J91" s="196"/>
      <c r="L91" s="203"/>
      <c r="M91" s="196"/>
      <c r="N91" s="77"/>
      <c r="O91" s="196"/>
      <c r="P91" s="84"/>
    </row>
    <row r="92" spans="2:16" hidden="1" x14ac:dyDescent="0.2">
      <c r="B92" s="119">
        <f>'BUILDING WORKS'!D74</f>
        <v>0</v>
      </c>
      <c r="C92" s="198">
        <f>'BUILDING WORKS'!F74</f>
        <v>1</v>
      </c>
      <c r="D92" s="195">
        <f>'BUILDING WORKS'!G74</f>
        <v>0</v>
      </c>
      <c r="E92" s="227">
        <f>'BUILDING WORKS'!L74</f>
        <v>0</v>
      </c>
      <c r="F92" s="227">
        <f>'BUILDING WORKS'!M74</f>
        <v>0</v>
      </c>
      <c r="G92" s="83"/>
      <c r="H92" s="196"/>
      <c r="I92" s="196"/>
      <c r="J92" s="196"/>
      <c r="L92" s="203"/>
      <c r="M92" s="196"/>
      <c r="N92" s="77"/>
      <c r="O92" s="196"/>
      <c r="P92" s="84"/>
    </row>
    <row r="93" spans="2:16" hidden="1" x14ac:dyDescent="0.2">
      <c r="B93" s="119">
        <f>'BUILDING WORKS'!D75</f>
        <v>0</v>
      </c>
      <c r="C93" s="198">
        <f>'BUILDING WORKS'!F75</f>
        <v>1</v>
      </c>
      <c r="D93" s="195">
        <f>'BUILDING WORKS'!G75</f>
        <v>0</v>
      </c>
      <c r="E93" s="227">
        <f>'BUILDING WORKS'!L75</f>
        <v>0</v>
      </c>
      <c r="F93" s="227">
        <f>'BUILDING WORKS'!M75</f>
        <v>0</v>
      </c>
      <c r="G93" s="83"/>
      <c r="H93" s="196"/>
      <c r="I93" s="196"/>
      <c r="J93" s="196"/>
      <c r="L93" s="203"/>
      <c r="M93" s="196"/>
      <c r="N93" s="77"/>
      <c r="O93" s="196"/>
      <c r="P93" s="84"/>
    </row>
    <row r="94" spans="2:16" hidden="1" x14ac:dyDescent="0.2">
      <c r="B94" s="119">
        <f>'BUILDING WORKS'!D76</f>
        <v>0</v>
      </c>
      <c r="C94" s="198">
        <f>'BUILDING WORKS'!F76</f>
        <v>1</v>
      </c>
      <c r="D94" s="195">
        <f>'BUILDING WORKS'!G76</f>
        <v>0</v>
      </c>
      <c r="E94" s="227">
        <f>'BUILDING WORKS'!L76</f>
        <v>0</v>
      </c>
      <c r="F94" s="227">
        <f>'BUILDING WORKS'!M76</f>
        <v>0</v>
      </c>
      <c r="G94" s="83"/>
      <c r="H94" s="196"/>
      <c r="I94" s="196"/>
      <c r="J94" s="196"/>
      <c r="L94" s="203"/>
      <c r="M94" s="196"/>
      <c r="N94" s="77"/>
      <c r="O94" s="196"/>
      <c r="P94" s="84"/>
    </row>
    <row r="95" spans="2:16" hidden="1" x14ac:dyDescent="0.2">
      <c r="B95" s="119">
        <f>'BUILDING WORKS'!D77</f>
        <v>0</v>
      </c>
      <c r="C95" s="198">
        <f>'BUILDING WORKS'!F77</f>
        <v>1</v>
      </c>
      <c r="D95" s="195">
        <f>'BUILDING WORKS'!G77</f>
        <v>0</v>
      </c>
      <c r="E95" s="227">
        <f>'BUILDING WORKS'!L77</f>
        <v>0</v>
      </c>
      <c r="F95" s="227">
        <f>'BUILDING WORKS'!M77</f>
        <v>0</v>
      </c>
      <c r="G95" s="83"/>
      <c r="H95" s="196"/>
      <c r="I95" s="196"/>
      <c r="J95" s="196"/>
      <c r="L95" s="203"/>
      <c r="M95" s="196"/>
      <c r="N95" s="77"/>
      <c r="O95" s="196"/>
      <c r="P95" s="84"/>
    </row>
    <row r="96" spans="2:16" hidden="1" x14ac:dyDescent="0.2">
      <c r="B96" s="119">
        <f>'BUILDING WORKS'!D78</f>
        <v>0</v>
      </c>
      <c r="C96" s="198">
        <f>'BUILDING WORKS'!F78</f>
        <v>1</v>
      </c>
      <c r="D96" s="195">
        <f>'BUILDING WORKS'!G78</f>
        <v>0</v>
      </c>
      <c r="E96" s="227">
        <f>'BUILDING WORKS'!L78</f>
        <v>0</v>
      </c>
      <c r="F96" s="227">
        <f>'BUILDING WORKS'!M78</f>
        <v>0</v>
      </c>
      <c r="G96" s="83"/>
      <c r="H96" s="196"/>
      <c r="I96" s="196"/>
      <c r="J96" s="196"/>
      <c r="L96" s="203"/>
      <c r="M96" s="196"/>
      <c r="N96" s="77"/>
      <c r="O96" s="196"/>
      <c r="P96" s="84"/>
    </row>
    <row r="97" spans="2:16" hidden="1" x14ac:dyDescent="0.2">
      <c r="B97" s="119">
        <f>'BUILDING WORKS'!D79</f>
        <v>0</v>
      </c>
      <c r="C97" s="198">
        <f>'BUILDING WORKS'!F79</f>
        <v>1</v>
      </c>
      <c r="D97" s="195">
        <f>'BUILDING WORKS'!G79</f>
        <v>0</v>
      </c>
      <c r="E97" s="227">
        <f>'BUILDING WORKS'!L79</f>
        <v>0</v>
      </c>
      <c r="F97" s="227">
        <f>'BUILDING WORKS'!M79</f>
        <v>0</v>
      </c>
      <c r="G97" s="83"/>
      <c r="H97" s="196"/>
      <c r="I97" s="196"/>
      <c r="J97" s="196"/>
      <c r="L97" s="203"/>
      <c r="M97" s="196"/>
      <c r="N97" s="77"/>
      <c r="O97" s="196"/>
      <c r="P97" s="84"/>
    </row>
    <row r="98" spans="2:16" hidden="1" x14ac:dyDescent="0.2">
      <c r="B98" s="119">
        <f>'BUILDING WORKS'!D80</f>
        <v>0</v>
      </c>
      <c r="C98" s="198">
        <f>'BUILDING WORKS'!F80</f>
        <v>1</v>
      </c>
      <c r="D98" s="195">
        <f>'BUILDING WORKS'!G80</f>
        <v>0</v>
      </c>
      <c r="E98" s="227">
        <f>'BUILDING WORKS'!L80</f>
        <v>0</v>
      </c>
      <c r="F98" s="227">
        <f>'BUILDING WORKS'!M80</f>
        <v>0</v>
      </c>
      <c r="G98" s="83"/>
      <c r="H98" s="196"/>
      <c r="I98" s="196"/>
      <c r="J98" s="196"/>
      <c r="L98" s="203"/>
      <c r="M98" s="196"/>
      <c r="N98" s="77"/>
      <c r="O98" s="196"/>
      <c r="P98" s="84"/>
    </row>
    <row r="99" spans="2:16" hidden="1" x14ac:dyDescent="0.2">
      <c r="B99" s="119">
        <f>'BUILDING WORKS'!D81</f>
        <v>0</v>
      </c>
      <c r="C99" s="198">
        <f>'BUILDING WORKS'!F81</f>
        <v>1</v>
      </c>
      <c r="D99" s="195">
        <f>'BUILDING WORKS'!G81</f>
        <v>0</v>
      </c>
      <c r="E99" s="227">
        <f>'BUILDING WORKS'!L81</f>
        <v>0</v>
      </c>
      <c r="F99" s="227">
        <f>'BUILDING WORKS'!M81</f>
        <v>0</v>
      </c>
      <c r="G99" s="83"/>
      <c r="H99" s="196"/>
      <c r="I99" s="196"/>
      <c r="J99" s="196"/>
      <c r="L99" s="203"/>
      <c r="M99" s="196"/>
      <c r="N99" s="77"/>
      <c r="O99" s="196"/>
      <c r="P99" s="84"/>
    </row>
    <row r="100" spans="2:16" hidden="1" x14ac:dyDescent="0.2">
      <c r="B100" s="119">
        <f>'BUILDING WORKS'!D82</f>
        <v>0</v>
      </c>
      <c r="C100" s="198">
        <f>'BUILDING WORKS'!F82</f>
        <v>1</v>
      </c>
      <c r="D100" s="195">
        <f>'BUILDING WORKS'!G82</f>
        <v>0</v>
      </c>
      <c r="E100" s="227">
        <f>'BUILDING WORKS'!L82</f>
        <v>0</v>
      </c>
      <c r="F100" s="227">
        <f>'BUILDING WORKS'!M82</f>
        <v>0</v>
      </c>
      <c r="G100" s="83"/>
      <c r="H100" s="196"/>
      <c r="I100" s="196"/>
      <c r="J100" s="196"/>
      <c r="L100" s="203"/>
      <c r="M100" s="196"/>
      <c r="N100" s="77"/>
      <c r="O100" s="196"/>
      <c r="P100" s="84"/>
    </row>
    <row r="101" spans="2:16" hidden="1" x14ac:dyDescent="0.2">
      <c r="B101" s="119">
        <f>'BUILDING WORKS'!D83</f>
        <v>0</v>
      </c>
      <c r="C101" s="198">
        <f>'BUILDING WORKS'!F83</f>
        <v>1</v>
      </c>
      <c r="D101" s="195">
        <f>'BUILDING WORKS'!G83</f>
        <v>0</v>
      </c>
      <c r="E101" s="227">
        <f>'BUILDING WORKS'!L83</f>
        <v>0</v>
      </c>
      <c r="F101" s="227">
        <f>'BUILDING WORKS'!M83</f>
        <v>0</v>
      </c>
      <c r="G101" s="83"/>
      <c r="H101" s="196"/>
      <c r="I101" s="196"/>
      <c r="J101" s="196"/>
      <c r="L101" s="203"/>
      <c r="M101" s="196"/>
      <c r="N101" s="77"/>
      <c r="O101" s="196"/>
      <c r="P101" s="84"/>
    </row>
    <row r="102" spans="2:16" hidden="1" x14ac:dyDescent="0.2">
      <c r="B102" s="119">
        <f>'BUILDING WORKS'!D84</f>
        <v>0</v>
      </c>
      <c r="C102" s="198">
        <f>'BUILDING WORKS'!F84</f>
        <v>1</v>
      </c>
      <c r="D102" s="195">
        <f>'BUILDING WORKS'!G84</f>
        <v>0</v>
      </c>
      <c r="E102" s="227">
        <f>'BUILDING WORKS'!L84</f>
        <v>0</v>
      </c>
      <c r="F102" s="227">
        <f>'BUILDING WORKS'!M84</f>
        <v>0</v>
      </c>
      <c r="G102" s="83"/>
      <c r="H102" s="196"/>
      <c r="I102" s="196"/>
      <c r="J102" s="196"/>
      <c r="L102" s="203"/>
      <c r="M102" s="196"/>
      <c r="N102" s="77"/>
      <c r="O102" s="196"/>
      <c r="P102" s="84"/>
    </row>
    <row r="103" spans="2:16" hidden="1" x14ac:dyDescent="0.2">
      <c r="B103" s="119">
        <f>'BUILDING WORKS'!D85</f>
        <v>0</v>
      </c>
      <c r="C103" s="198">
        <f>'BUILDING WORKS'!F85</f>
        <v>1</v>
      </c>
      <c r="D103" s="195">
        <f>'BUILDING WORKS'!G85</f>
        <v>0</v>
      </c>
      <c r="E103" s="227">
        <f>'BUILDING WORKS'!L85</f>
        <v>0</v>
      </c>
      <c r="F103" s="227">
        <f>'BUILDING WORKS'!M85</f>
        <v>0</v>
      </c>
      <c r="G103" s="83"/>
      <c r="H103" s="196"/>
      <c r="I103" s="196"/>
      <c r="J103" s="196"/>
      <c r="L103" s="203"/>
      <c r="M103" s="196"/>
      <c r="N103" s="77"/>
      <c r="O103" s="196"/>
      <c r="P103" s="84"/>
    </row>
    <row r="104" spans="2:16" hidden="1" x14ac:dyDescent="0.2">
      <c r="B104" s="119">
        <f>'BUILDING WORKS'!D86</f>
        <v>0</v>
      </c>
      <c r="C104" s="198">
        <f>'BUILDING WORKS'!F86</f>
        <v>1</v>
      </c>
      <c r="D104" s="195">
        <f>'BUILDING WORKS'!G86</f>
        <v>0</v>
      </c>
      <c r="E104" s="227">
        <f>'BUILDING WORKS'!L86</f>
        <v>0</v>
      </c>
      <c r="F104" s="227">
        <f>'BUILDING WORKS'!M86</f>
        <v>0</v>
      </c>
      <c r="G104" s="83"/>
      <c r="H104" s="196"/>
      <c r="I104" s="196"/>
      <c r="J104" s="196"/>
      <c r="L104" s="203"/>
      <c r="M104" s="196"/>
      <c r="N104" s="77"/>
      <c r="O104" s="196"/>
      <c r="P104" s="84"/>
    </row>
    <row r="105" spans="2:16" hidden="1" x14ac:dyDescent="0.2">
      <c r="B105" s="119">
        <f>'BUILDING WORKS'!D87</f>
        <v>0</v>
      </c>
      <c r="C105" s="198">
        <f>'BUILDING WORKS'!F87</f>
        <v>1</v>
      </c>
      <c r="D105" s="195">
        <f>'BUILDING WORKS'!G87</f>
        <v>0</v>
      </c>
      <c r="E105" s="227">
        <f>'BUILDING WORKS'!L87</f>
        <v>0</v>
      </c>
      <c r="F105" s="227">
        <f>'BUILDING WORKS'!M87</f>
        <v>0</v>
      </c>
      <c r="G105" s="83"/>
      <c r="H105" s="196"/>
      <c r="I105" s="196"/>
      <c r="J105" s="196"/>
      <c r="L105" s="203"/>
      <c r="M105" s="196"/>
      <c r="N105" s="77"/>
      <c r="O105" s="196"/>
      <c r="P105" s="84"/>
    </row>
    <row r="106" spans="2:16" hidden="1" x14ac:dyDescent="0.2">
      <c r="B106" s="119">
        <f>'BUILDING WORKS'!D88</f>
        <v>0</v>
      </c>
      <c r="C106" s="198">
        <f>'BUILDING WORKS'!F88</f>
        <v>1</v>
      </c>
      <c r="D106" s="195">
        <f>'BUILDING WORKS'!G88</f>
        <v>0</v>
      </c>
      <c r="E106" s="227">
        <f>'BUILDING WORKS'!L88</f>
        <v>0</v>
      </c>
      <c r="F106" s="227">
        <f>'BUILDING WORKS'!M88</f>
        <v>0</v>
      </c>
      <c r="G106" s="83"/>
      <c r="H106" s="196"/>
      <c r="I106" s="196"/>
      <c r="J106" s="196"/>
      <c r="L106" s="203"/>
      <c r="M106" s="196"/>
      <c r="N106" s="77"/>
      <c r="O106" s="196"/>
      <c r="P106" s="84"/>
    </row>
    <row r="107" spans="2:16" hidden="1" x14ac:dyDescent="0.2">
      <c r="B107" s="119">
        <f>'BUILDING WORKS'!D89</f>
        <v>0</v>
      </c>
      <c r="C107" s="198">
        <f>'BUILDING WORKS'!F89</f>
        <v>1</v>
      </c>
      <c r="D107" s="195">
        <f>'BUILDING WORKS'!G89</f>
        <v>0</v>
      </c>
      <c r="E107" s="227">
        <f>'BUILDING WORKS'!L89</f>
        <v>0</v>
      </c>
      <c r="F107" s="227">
        <f>'BUILDING WORKS'!M89</f>
        <v>0</v>
      </c>
      <c r="G107" s="83"/>
      <c r="H107" s="196"/>
      <c r="I107" s="196"/>
      <c r="J107" s="196"/>
      <c r="L107" s="203"/>
      <c r="M107" s="196"/>
      <c r="N107" s="77"/>
      <c r="O107" s="196"/>
      <c r="P107" s="84"/>
    </row>
    <row r="108" spans="2:16" hidden="1" x14ac:dyDescent="0.2">
      <c r="B108" s="119">
        <f>'BUILDING WORKS'!D90</f>
        <v>0</v>
      </c>
      <c r="C108" s="198">
        <f>'BUILDING WORKS'!F90</f>
        <v>1</v>
      </c>
      <c r="D108" s="195">
        <f>'BUILDING WORKS'!G90</f>
        <v>0</v>
      </c>
      <c r="E108" s="227">
        <f>'BUILDING WORKS'!L90</f>
        <v>0</v>
      </c>
      <c r="F108" s="227">
        <f>'BUILDING WORKS'!M90</f>
        <v>0</v>
      </c>
      <c r="G108" s="83"/>
      <c r="H108" s="196"/>
      <c r="I108" s="196"/>
      <c r="J108" s="196"/>
      <c r="L108" s="203"/>
      <c r="M108" s="196"/>
      <c r="N108" s="77"/>
      <c r="O108" s="196"/>
      <c r="P108" s="84"/>
    </row>
    <row r="109" spans="2:16" hidden="1" x14ac:dyDescent="0.2">
      <c r="B109" s="119">
        <f>'BUILDING WORKS'!D91</f>
        <v>0</v>
      </c>
      <c r="C109" s="198">
        <f>'BUILDING WORKS'!F91</f>
        <v>1</v>
      </c>
      <c r="D109" s="195">
        <f>'BUILDING WORKS'!G91</f>
        <v>0</v>
      </c>
      <c r="E109" s="227">
        <f>'BUILDING WORKS'!L91</f>
        <v>0</v>
      </c>
      <c r="F109" s="227">
        <f>'BUILDING WORKS'!M91</f>
        <v>0</v>
      </c>
      <c r="G109" s="83"/>
      <c r="H109" s="196"/>
      <c r="I109" s="196"/>
      <c r="J109" s="196"/>
      <c r="L109" s="203"/>
      <c r="M109" s="196"/>
      <c r="N109" s="77"/>
      <c r="O109" s="196"/>
      <c r="P109" s="84"/>
    </row>
    <row r="110" spans="2:16" hidden="1" x14ac:dyDescent="0.2">
      <c r="B110" s="119">
        <f>'BUILDING WORKS'!D92</f>
        <v>0</v>
      </c>
      <c r="C110" s="198">
        <f>'BUILDING WORKS'!F92</f>
        <v>1</v>
      </c>
      <c r="D110" s="195">
        <f>'BUILDING WORKS'!G92</f>
        <v>0</v>
      </c>
      <c r="E110" s="227">
        <f>'BUILDING WORKS'!L92</f>
        <v>0</v>
      </c>
      <c r="F110" s="227">
        <f>'BUILDING WORKS'!M92</f>
        <v>0</v>
      </c>
      <c r="G110" s="83"/>
      <c r="H110" s="196"/>
      <c r="I110" s="196"/>
      <c r="J110" s="196"/>
      <c r="L110" s="203"/>
      <c r="M110" s="196"/>
      <c r="N110" s="77"/>
      <c r="O110" s="196"/>
      <c r="P110" s="84"/>
    </row>
    <row r="111" spans="2:16" hidden="1" x14ac:dyDescent="0.2">
      <c r="B111" s="119">
        <f>'BUILDING WORKS'!D93</f>
        <v>0</v>
      </c>
      <c r="C111" s="198">
        <f>'BUILDING WORKS'!F93</f>
        <v>1</v>
      </c>
      <c r="D111" s="195">
        <f>'BUILDING WORKS'!G93</f>
        <v>0</v>
      </c>
      <c r="E111" s="227">
        <f>'BUILDING WORKS'!L93</f>
        <v>0</v>
      </c>
      <c r="F111" s="227">
        <f>'BUILDING WORKS'!M93</f>
        <v>0</v>
      </c>
      <c r="G111" s="83"/>
      <c r="H111" s="196"/>
      <c r="I111" s="196"/>
      <c r="J111" s="196"/>
      <c r="L111" s="203"/>
      <c r="M111" s="196"/>
      <c r="N111" s="77"/>
      <c r="O111" s="196"/>
      <c r="P111" s="84"/>
    </row>
    <row r="112" spans="2:16" hidden="1" x14ac:dyDescent="0.2">
      <c r="B112" s="119">
        <f>'BUILDING WORKS'!D94</f>
        <v>0</v>
      </c>
      <c r="C112" s="198">
        <f>'BUILDING WORKS'!F94</f>
        <v>1</v>
      </c>
      <c r="D112" s="195">
        <f>'BUILDING WORKS'!G94</f>
        <v>0</v>
      </c>
      <c r="E112" s="227">
        <f>'BUILDING WORKS'!L94</f>
        <v>0</v>
      </c>
      <c r="F112" s="227">
        <f>'BUILDING WORKS'!M94</f>
        <v>0</v>
      </c>
      <c r="G112" s="83"/>
      <c r="H112" s="196"/>
      <c r="I112" s="196"/>
      <c r="J112" s="196"/>
      <c r="L112" s="203"/>
      <c r="M112" s="196"/>
      <c r="N112" s="77"/>
      <c r="O112" s="196"/>
      <c r="P112" s="84"/>
    </row>
    <row r="113" spans="2:16" hidden="1" x14ac:dyDescent="0.2">
      <c r="B113" s="119">
        <f>'BUILDING WORKS'!D95</f>
        <v>0</v>
      </c>
      <c r="C113" s="198">
        <f>'BUILDING WORKS'!F95</f>
        <v>1</v>
      </c>
      <c r="D113" s="195">
        <f>'BUILDING WORKS'!G95</f>
        <v>0</v>
      </c>
      <c r="E113" s="227">
        <f>'BUILDING WORKS'!L95</f>
        <v>0</v>
      </c>
      <c r="F113" s="227">
        <f>'BUILDING WORKS'!M95</f>
        <v>0</v>
      </c>
      <c r="G113" s="83"/>
      <c r="H113" s="196"/>
      <c r="I113" s="196"/>
      <c r="J113" s="196"/>
      <c r="L113" s="203"/>
      <c r="M113" s="196"/>
      <c r="N113" s="77"/>
      <c r="O113" s="196"/>
      <c r="P113" s="84"/>
    </row>
    <row r="114" spans="2:16" hidden="1" x14ac:dyDescent="0.2">
      <c r="B114" s="119">
        <f>'BUILDING WORKS'!D96</f>
        <v>0</v>
      </c>
      <c r="C114" s="198">
        <f>'BUILDING WORKS'!F96</f>
        <v>1</v>
      </c>
      <c r="D114" s="195">
        <f>'BUILDING WORKS'!G96</f>
        <v>0</v>
      </c>
      <c r="E114" s="227">
        <f>'BUILDING WORKS'!L96</f>
        <v>0</v>
      </c>
      <c r="F114" s="227">
        <f>'BUILDING WORKS'!M96</f>
        <v>0</v>
      </c>
      <c r="G114" s="83"/>
      <c r="H114" s="196"/>
      <c r="I114" s="196"/>
      <c r="J114" s="196"/>
      <c r="L114" s="203"/>
      <c r="M114" s="196"/>
      <c r="N114" s="77"/>
      <c r="O114" s="196"/>
      <c r="P114" s="84"/>
    </row>
    <row r="115" spans="2:16" hidden="1" x14ac:dyDescent="0.2">
      <c r="B115" s="119">
        <f>'BUILDING WORKS'!D97</f>
        <v>0</v>
      </c>
      <c r="C115" s="198">
        <f>'BUILDING WORKS'!F97</f>
        <v>1</v>
      </c>
      <c r="D115" s="195">
        <f>'BUILDING WORKS'!G97</f>
        <v>0</v>
      </c>
      <c r="E115" s="227">
        <f>'BUILDING WORKS'!L97</f>
        <v>0</v>
      </c>
      <c r="F115" s="227">
        <f>'BUILDING WORKS'!M97</f>
        <v>0</v>
      </c>
      <c r="G115" s="83"/>
      <c r="H115" s="196"/>
      <c r="I115" s="196"/>
      <c r="J115" s="196"/>
      <c r="L115" s="203"/>
      <c r="M115" s="196"/>
      <c r="N115" s="77"/>
      <c r="O115" s="196"/>
      <c r="P115" s="84"/>
    </row>
    <row r="116" spans="2:16" hidden="1" x14ac:dyDescent="0.2">
      <c r="B116" s="119">
        <f>'BUILDING WORKS'!D98</f>
        <v>0</v>
      </c>
      <c r="C116" s="198">
        <f>'BUILDING WORKS'!F98</f>
        <v>1</v>
      </c>
      <c r="D116" s="195">
        <f>'BUILDING WORKS'!G98</f>
        <v>0</v>
      </c>
      <c r="E116" s="227">
        <f>'BUILDING WORKS'!L98</f>
        <v>0</v>
      </c>
      <c r="F116" s="227">
        <f>'BUILDING WORKS'!M98</f>
        <v>0</v>
      </c>
      <c r="G116" s="83"/>
      <c r="H116" s="196"/>
      <c r="I116" s="196"/>
      <c r="J116" s="196"/>
      <c r="L116" s="203"/>
      <c r="M116" s="196"/>
      <c r="N116" s="77"/>
      <c r="O116" s="196"/>
      <c r="P116" s="84"/>
    </row>
    <row r="117" spans="2:16" hidden="1" x14ac:dyDescent="0.2">
      <c r="B117" s="119">
        <f>'BUILDING WORKS'!D99</f>
        <v>0</v>
      </c>
      <c r="C117" s="198">
        <f>'BUILDING WORKS'!F99</f>
        <v>1</v>
      </c>
      <c r="D117" s="195">
        <f>'BUILDING WORKS'!G99</f>
        <v>0</v>
      </c>
      <c r="E117" s="227">
        <f>'BUILDING WORKS'!L99</f>
        <v>0</v>
      </c>
      <c r="F117" s="227">
        <f>'BUILDING WORKS'!M99</f>
        <v>0</v>
      </c>
      <c r="G117" s="83"/>
      <c r="H117" s="196"/>
      <c r="I117" s="196"/>
      <c r="J117" s="196"/>
      <c r="L117" s="203"/>
      <c r="M117" s="196"/>
      <c r="N117" s="77"/>
      <c r="O117" s="196"/>
      <c r="P117" s="84"/>
    </row>
    <row r="118" spans="2:16" hidden="1" x14ac:dyDescent="0.2">
      <c r="B118" s="119">
        <f>'BUILDING WORKS'!D100</f>
        <v>0</v>
      </c>
      <c r="C118" s="198">
        <f>'BUILDING WORKS'!F100</f>
        <v>1</v>
      </c>
      <c r="D118" s="195">
        <f>'BUILDING WORKS'!G100</f>
        <v>0</v>
      </c>
      <c r="E118" s="227">
        <f>'BUILDING WORKS'!L100</f>
        <v>0</v>
      </c>
      <c r="F118" s="227">
        <f>'BUILDING WORKS'!M100</f>
        <v>0</v>
      </c>
      <c r="G118" s="83"/>
      <c r="H118" s="196"/>
      <c r="I118" s="196"/>
      <c r="J118" s="196"/>
      <c r="L118" s="203"/>
      <c r="M118" s="196"/>
      <c r="N118" s="77"/>
      <c r="O118" s="196"/>
      <c r="P118" s="84"/>
    </row>
    <row r="119" spans="2:16" hidden="1" x14ac:dyDescent="0.2">
      <c r="B119" s="119">
        <f>'BUILDING WORKS'!D101</f>
        <v>0</v>
      </c>
      <c r="C119" s="198">
        <f>'BUILDING WORKS'!F101</f>
        <v>1</v>
      </c>
      <c r="D119" s="195">
        <f>'BUILDING WORKS'!G101</f>
        <v>0</v>
      </c>
      <c r="E119" s="227">
        <f>'BUILDING WORKS'!L101</f>
        <v>0</v>
      </c>
      <c r="F119" s="227">
        <f>'BUILDING WORKS'!M101</f>
        <v>0</v>
      </c>
      <c r="G119" s="83"/>
      <c r="H119" s="196"/>
      <c r="I119" s="196"/>
      <c r="J119" s="196"/>
      <c r="L119" s="203"/>
      <c r="M119" s="196"/>
      <c r="N119" s="77"/>
      <c r="O119" s="196"/>
      <c r="P119" s="84"/>
    </row>
    <row r="120" spans="2:16" hidden="1" x14ac:dyDescent="0.2">
      <c r="B120" s="119">
        <f>'BUILDING WORKS'!D102</f>
        <v>0</v>
      </c>
      <c r="C120" s="198">
        <f>'BUILDING WORKS'!F102</f>
        <v>1</v>
      </c>
      <c r="D120" s="195">
        <f>'BUILDING WORKS'!G102</f>
        <v>0</v>
      </c>
      <c r="E120" s="227">
        <f>'BUILDING WORKS'!L102</f>
        <v>0</v>
      </c>
      <c r="F120" s="227">
        <f>'BUILDING WORKS'!M102</f>
        <v>0</v>
      </c>
      <c r="G120" s="83"/>
      <c r="H120" s="196"/>
      <c r="I120" s="196"/>
      <c r="J120" s="196"/>
      <c r="L120" s="203"/>
      <c r="M120" s="196"/>
      <c r="N120" s="77"/>
      <c r="O120" s="196"/>
      <c r="P120" s="84"/>
    </row>
    <row r="121" spans="2:16" hidden="1" x14ac:dyDescent="0.2">
      <c r="B121" s="119">
        <f>'BUILDING WORKS'!D103</f>
        <v>0</v>
      </c>
      <c r="C121" s="198">
        <f>'BUILDING WORKS'!F103</f>
        <v>1</v>
      </c>
      <c r="D121" s="195">
        <f>'BUILDING WORKS'!G103</f>
        <v>0</v>
      </c>
      <c r="E121" s="227">
        <f>'BUILDING WORKS'!L103</f>
        <v>0</v>
      </c>
      <c r="F121" s="227">
        <f>'BUILDING WORKS'!M103</f>
        <v>0</v>
      </c>
      <c r="G121" s="83"/>
      <c r="H121" s="196"/>
      <c r="I121" s="196"/>
      <c r="J121" s="196"/>
      <c r="L121" s="203"/>
      <c r="M121" s="196"/>
      <c r="N121" s="77"/>
      <c r="O121" s="196"/>
      <c r="P121" s="84"/>
    </row>
    <row r="122" spans="2:16" hidden="1" x14ac:dyDescent="0.2">
      <c r="B122" s="119"/>
      <c r="C122" s="198"/>
      <c r="D122" s="195"/>
      <c r="E122" s="227"/>
      <c r="F122" s="227"/>
      <c r="G122" s="83"/>
      <c r="H122" s="196"/>
      <c r="I122" s="196"/>
      <c r="J122" s="196"/>
      <c r="L122" s="203"/>
      <c r="M122" s="196"/>
      <c r="N122" s="77"/>
      <c r="O122" s="196"/>
      <c r="P122" s="84"/>
    </row>
    <row r="123" spans="2:16" x14ac:dyDescent="0.2">
      <c r="B123" s="82"/>
      <c r="C123" s="82"/>
      <c r="D123" s="82"/>
      <c r="E123" s="221"/>
      <c r="F123" s="256"/>
      <c r="G123" s="197"/>
      <c r="H123" s="196"/>
      <c r="I123" s="196"/>
      <c r="J123" s="196"/>
      <c r="L123" s="82"/>
      <c r="M123" s="196"/>
      <c r="N123" s="82"/>
      <c r="O123" s="196"/>
      <c r="P123" s="82"/>
    </row>
    <row r="124" spans="2:16" x14ac:dyDescent="0.2">
      <c r="B124" s="238" t="s">
        <v>13</v>
      </c>
      <c r="C124" s="238"/>
      <c r="D124" s="238"/>
      <c r="E124" s="239"/>
      <c r="F124" s="240">
        <f>F27+F41</f>
        <v>0</v>
      </c>
      <c r="G124" s="197"/>
      <c r="H124" s="196"/>
      <c r="I124" s="196"/>
      <c r="J124" s="196"/>
      <c r="L124" s="82"/>
      <c r="M124" s="196"/>
      <c r="N124" s="82"/>
      <c r="O124" s="196"/>
      <c r="P124" s="82"/>
    </row>
    <row r="125" spans="2:16" x14ac:dyDescent="0.2">
      <c r="B125" s="64"/>
      <c r="C125" s="64"/>
      <c r="D125" s="64"/>
      <c r="E125" s="224"/>
      <c r="F125" s="81"/>
      <c r="G125" s="197"/>
      <c r="H125" s="196"/>
      <c r="I125" s="196"/>
      <c r="J125" s="196"/>
      <c r="L125" s="82"/>
      <c r="M125" s="196"/>
      <c r="N125" s="82"/>
      <c r="O125" s="196"/>
      <c r="P125" s="82"/>
    </row>
    <row r="126" spans="2:16" x14ac:dyDescent="0.2">
      <c r="B126" s="64" t="s">
        <v>130</v>
      </c>
      <c r="C126" s="269"/>
      <c r="D126" s="269"/>
      <c r="E126" s="64"/>
      <c r="F126" s="81">
        <f>F124</f>
        <v>0</v>
      </c>
      <c r="G126" s="197"/>
      <c r="H126" s="196"/>
      <c r="I126" s="196"/>
      <c r="J126" s="196"/>
      <c r="L126" s="85"/>
      <c r="M126" s="196"/>
      <c r="N126" s="82"/>
      <c r="O126" s="196"/>
      <c r="P126" s="84"/>
    </row>
    <row r="127" spans="2:16" x14ac:dyDescent="0.2">
      <c r="B127" s="261" t="s">
        <v>131</v>
      </c>
      <c r="C127" s="270"/>
      <c r="D127" s="270"/>
      <c r="E127" s="261"/>
      <c r="F127" s="262">
        <f>F126*0.2</f>
        <v>0</v>
      </c>
      <c r="G127" s="197"/>
      <c r="H127" s="196"/>
      <c r="I127" s="196"/>
      <c r="J127" s="196"/>
      <c r="L127" s="82"/>
      <c r="M127" s="196"/>
      <c r="N127" s="82"/>
      <c r="O127" s="196"/>
      <c r="P127" s="82"/>
    </row>
    <row r="128" spans="2:16" x14ac:dyDescent="0.2">
      <c r="B128" s="64"/>
      <c r="C128" s="269"/>
      <c r="D128" s="269"/>
      <c r="E128" s="64"/>
      <c r="F128" s="81"/>
      <c r="G128" s="197"/>
      <c r="H128" s="196"/>
      <c r="I128" s="196"/>
      <c r="J128" s="196"/>
      <c r="L128" s="82"/>
      <c r="M128" s="196"/>
      <c r="N128" s="82"/>
      <c r="O128" s="196"/>
      <c r="P128" s="82"/>
    </row>
    <row r="129" spans="2:16" x14ac:dyDescent="0.2">
      <c r="B129" s="103" t="s">
        <v>132</v>
      </c>
      <c r="C129" s="271"/>
      <c r="D129" s="271"/>
      <c r="E129" s="64"/>
      <c r="F129" s="264">
        <f>F126+F127</f>
        <v>0</v>
      </c>
      <c r="G129" s="83"/>
      <c r="H129" s="196"/>
      <c r="I129" s="196"/>
      <c r="J129" s="196"/>
      <c r="L129" s="203"/>
      <c r="M129" s="196"/>
      <c r="N129" s="82"/>
      <c r="O129" s="196"/>
      <c r="P129" s="84"/>
    </row>
    <row r="130" spans="2:16" x14ac:dyDescent="0.2">
      <c r="B130" s="103"/>
      <c r="C130" s="263"/>
      <c r="D130" s="263"/>
      <c r="E130" s="64"/>
      <c r="F130" s="264"/>
      <c r="G130" s="197"/>
      <c r="H130" s="196"/>
      <c r="I130" s="89"/>
      <c r="J130" s="196"/>
      <c r="L130" s="85"/>
      <c r="M130" s="196"/>
      <c r="N130" s="82"/>
      <c r="O130" s="196"/>
      <c r="P130" s="84"/>
    </row>
    <row r="131" spans="2:16" ht="13.7" customHeight="1" x14ac:dyDescent="0.2">
      <c r="B131" s="267" t="s">
        <v>133</v>
      </c>
      <c r="C131" s="267"/>
      <c r="D131" s="267"/>
      <c r="E131" s="267"/>
      <c r="F131" s="267"/>
      <c r="G131" s="197"/>
      <c r="H131" s="196"/>
      <c r="I131" s="90"/>
      <c r="J131" s="196"/>
      <c r="L131" s="82"/>
      <c r="M131" s="196"/>
      <c r="N131" s="82"/>
      <c r="O131" s="196"/>
      <c r="P131" s="82"/>
    </row>
    <row r="132" spans="2:16" ht="12.75" customHeight="1" x14ac:dyDescent="0.2">
      <c r="B132" s="268"/>
      <c r="C132" s="268"/>
      <c r="D132" s="268"/>
      <c r="E132" s="268"/>
      <c r="F132" s="268"/>
      <c r="G132" s="197"/>
      <c r="H132" s="196"/>
      <c r="I132" s="196"/>
      <c r="J132" s="196"/>
      <c r="L132" s="203"/>
      <c r="M132" s="196"/>
      <c r="N132" s="77"/>
      <c r="O132" s="196"/>
      <c r="P132" s="84"/>
    </row>
    <row r="133" spans="2:16" x14ac:dyDescent="0.2">
      <c r="B133" s="64" t="s">
        <v>134</v>
      </c>
      <c r="C133" s="266" t="s">
        <v>135</v>
      </c>
      <c r="D133" s="266"/>
      <c r="E133" s="266"/>
      <c r="F133" s="266"/>
      <c r="G133" s="197"/>
      <c r="H133" s="196"/>
      <c r="I133" s="196"/>
      <c r="J133" s="196"/>
      <c r="L133" s="85"/>
      <c r="M133" s="196"/>
      <c r="N133" s="82"/>
      <c r="O133" s="196"/>
      <c r="P133" s="84"/>
    </row>
    <row r="134" spans="2:16" ht="13.7" customHeight="1" x14ac:dyDescent="0.2">
      <c r="B134" s="261" t="s">
        <v>136</v>
      </c>
      <c r="C134" s="268" t="s">
        <v>137</v>
      </c>
      <c r="D134" s="268"/>
      <c r="E134" s="268"/>
      <c r="F134" s="268"/>
      <c r="G134" s="197"/>
      <c r="H134" s="196"/>
      <c r="I134" s="196"/>
      <c r="J134" s="196"/>
      <c r="L134" s="82"/>
      <c r="M134" s="196"/>
      <c r="N134" s="82"/>
      <c r="O134" s="196"/>
      <c r="P134" s="82"/>
    </row>
    <row r="135" spans="2:16" ht="13.7" customHeight="1" x14ac:dyDescent="0.2">
      <c r="B135" s="64" t="s">
        <v>138</v>
      </c>
      <c r="C135" s="266" t="s">
        <v>139</v>
      </c>
      <c r="D135" s="266"/>
      <c r="E135" s="266"/>
      <c r="F135" s="266"/>
      <c r="G135" s="197"/>
      <c r="H135" s="196"/>
      <c r="I135" s="196"/>
      <c r="J135" s="196"/>
      <c r="L135" s="82"/>
      <c r="M135" s="196"/>
      <c r="N135" s="82"/>
      <c r="O135" s="196"/>
      <c r="P135" s="82"/>
    </row>
    <row r="136" spans="2:16" ht="12.75" customHeight="1" x14ac:dyDescent="0.2">
      <c r="B136" s="265" t="s">
        <v>140</v>
      </c>
      <c r="C136" s="267">
        <v>73782829</v>
      </c>
      <c r="D136" s="267"/>
      <c r="E136" s="267"/>
      <c r="F136" s="267"/>
      <c r="G136" s="197"/>
      <c r="H136" s="196"/>
      <c r="I136" s="196"/>
      <c r="J136" s="196"/>
      <c r="L136" s="203"/>
      <c r="M136" s="196"/>
      <c r="N136" s="77"/>
      <c r="O136" s="196"/>
      <c r="P136" s="84"/>
    </row>
    <row r="137" spans="2:16" ht="13.7" customHeight="1" x14ac:dyDescent="0.2">
      <c r="B137" s="64" t="s">
        <v>141</v>
      </c>
      <c r="C137" s="266">
        <v>442633604</v>
      </c>
      <c r="D137" s="266"/>
      <c r="E137" s="266"/>
      <c r="F137" s="266"/>
      <c r="G137" s="197"/>
      <c r="H137" s="196"/>
      <c r="I137" s="196"/>
      <c r="J137" s="196"/>
      <c r="L137" s="85"/>
      <c r="M137" s="196"/>
      <c r="N137" s="82"/>
      <c r="O137" s="196"/>
      <c r="P137" s="84"/>
    </row>
    <row r="138" spans="2:16" ht="13.7" customHeight="1" x14ac:dyDescent="0.2">
      <c r="B138" s="64"/>
      <c r="C138" s="257"/>
      <c r="D138" s="257"/>
      <c r="E138" s="257"/>
      <c r="F138" s="257"/>
      <c r="G138" s="197"/>
      <c r="H138" s="196"/>
      <c r="I138" s="196"/>
      <c r="J138" s="196"/>
      <c r="L138" s="85"/>
      <c r="M138" s="196"/>
      <c r="N138" s="82"/>
      <c r="O138" s="196"/>
      <c r="P138" s="84"/>
    </row>
    <row r="139" spans="2:16" ht="13.7" customHeight="1" x14ac:dyDescent="0.2">
      <c r="B139" s="82"/>
      <c r="C139" s="86"/>
      <c r="D139" s="86"/>
      <c r="E139" s="221"/>
      <c r="F139" s="221"/>
      <c r="G139" s="197"/>
      <c r="H139" s="196"/>
      <c r="I139" s="196"/>
      <c r="J139" s="196"/>
      <c r="L139" s="82"/>
      <c r="M139" s="196"/>
      <c r="N139" s="82"/>
      <c r="O139" s="196"/>
      <c r="P139" s="82"/>
    </row>
    <row r="140" spans="2:16" ht="12.75" customHeight="1" x14ac:dyDescent="0.2">
      <c r="B140" s="86"/>
      <c r="C140" s="86"/>
      <c r="D140" s="86"/>
      <c r="E140"/>
      <c r="F140" s="221"/>
      <c r="G140" s="197"/>
      <c r="H140" s="196"/>
      <c r="I140" s="196"/>
      <c r="J140" s="196"/>
      <c r="L140" s="203"/>
      <c r="M140" s="196"/>
      <c r="N140" s="82"/>
      <c r="O140" s="196"/>
      <c r="P140" s="84"/>
    </row>
    <row r="141" spans="2:16" ht="13.5" customHeight="1" x14ac:dyDescent="0.2">
      <c r="B141"/>
      <c r="C141" s="85"/>
      <c r="D141" s="85"/>
      <c r="E141"/>
      <c r="F141" s="221"/>
      <c r="G141" s="197"/>
      <c r="H141" s="196"/>
      <c r="I141" s="196"/>
      <c r="J141" s="196"/>
      <c r="L141" s="85"/>
      <c r="M141" s="196"/>
      <c r="N141" s="82"/>
      <c r="O141" s="196"/>
      <c r="P141" s="84"/>
    </row>
    <row r="142" spans="2:16" ht="13.5" customHeight="1" x14ac:dyDescent="0.2">
      <c r="B142" s="82"/>
      <c r="C142" s="86"/>
      <c r="D142" s="86"/>
      <c r="E142" s="221"/>
      <c r="F142" s="221"/>
      <c r="G142" s="197"/>
      <c r="H142" s="196"/>
      <c r="I142" s="196"/>
      <c r="J142" s="196"/>
      <c r="L142" s="91"/>
      <c r="M142" s="82"/>
      <c r="N142" s="82"/>
      <c r="O142" s="82"/>
      <c r="P142" s="82"/>
    </row>
    <row r="143" spans="2:16" ht="13.5" customHeight="1" x14ac:dyDescent="0.2">
      <c r="B143"/>
      <c r="C143" s="88"/>
      <c r="D143" s="88"/>
      <c r="E143" s="228"/>
      <c r="F143" s="221"/>
      <c r="G143" s="197"/>
      <c r="H143" s="196"/>
      <c r="I143" s="196"/>
      <c r="J143" s="196"/>
      <c r="L143" s="82"/>
      <c r="M143" s="82"/>
      <c r="N143" s="82"/>
      <c r="O143" s="82"/>
      <c r="P143" s="82"/>
    </row>
    <row r="144" spans="2:16" ht="13.5" customHeight="1" x14ac:dyDescent="0.2">
      <c r="B144" s="64"/>
      <c r="C144" s="86"/>
      <c r="D144" s="86"/>
      <c r="E144" s="221"/>
      <c r="F144" s="221"/>
      <c r="G144" s="197"/>
      <c r="H144" s="196"/>
      <c r="I144" s="92"/>
      <c r="J144" s="204"/>
      <c r="L144" s="93"/>
      <c r="M144" s="82"/>
      <c r="N144" s="82"/>
      <c r="O144" s="82"/>
    </row>
    <row r="145" spans="2:15" ht="13.5" customHeight="1" x14ac:dyDescent="0.2">
      <c r="B145" s="82"/>
      <c r="C145" s="88"/>
      <c r="D145" s="88"/>
      <c r="E145" s="228"/>
      <c r="F145" s="221"/>
      <c r="G145" s="197"/>
      <c r="H145" s="196"/>
      <c r="I145" s="92"/>
      <c r="J145" s="196"/>
      <c r="L145" s="84"/>
      <c r="M145" s="82"/>
      <c r="N145" s="82"/>
      <c r="O145" s="82"/>
    </row>
    <row r="146" spans="2:15" ht="13.5" customHeight="1" x14ac:dyDescent="0.2">
      <c r="B146" s="82"/>
      <c r="C146" s="86"/>
      <c r="D146" s="86"/>
      <c r="E146" s="221"/>
      <c r="F146" s="221"/>
      <c r="G146" s="197"/>
      <c r="H146" s="82"/>
      <c r="I146" s="92"/>
      <c r="J146" s="196"/>
      <c r="L146" s="94"/>
      <c r="M146" s="82"/>
      <c r="N146" s="82"/>
      <c r="O146" s="82"/>
    </row>
    <row r="147" spans="2:15" ht="13.5" customHeight="1" x14ac:dyDescent="0.2">
      <c r="B147" s="82"/>
      <c r="C147" s="86"/>
      <c r="D147" s="86"/>
      <c r="E147" s="221"/>
      <c r="F147" s="221"/>
      <c r="G147" s="197"/>
      <c r="H147" s="196"/>
      <c r="I147" s="92"/>
      <c r="J147" s="196"/>
      <c r="L147" s="82"/>
      <c r="M147" s="82"/>
      <c r="N147" s="82"/>
      <c r="O147" s="82"/>
    </row>
    <row r="148" spans="2:15" ht="13.5" customHeight="1" x14ac:dyDescent="0.2">
      <c r="B148" s="82"/>
      <c r="C148" s="82"/>
      <c r="D148" s="82"/>
      <c r="E148" s="221"/>
      <c r="F148" s="221"/>
      <c r="G148" s="197"/>
      <c r="H148" s="196"/>
      <c r="I148" s="196"/>
      <c r="J148" s="196"/>
      <c r="L148" s="82"/>
      <c r="M148" s="82"/>
      <c r="N148" s="82"/>
      <c r="O148" s="82"/>
    </row>
  </sheetData>
  <mergeCells count="11">
    <mergeCell ref="C126:D126"/>
    <mergeCell ref="C127:D127"/>
    <mergeCell ref="C128:D128"/>
    <mergeCell ref="C129:D129"/>
    <mergeCell ref="C133:F133"/>
    <mergeCell ref="C135:F135"/>
    <mergeCell ref="C136:F136"/>
    <mergeCell ref="C137:F137"/>
    <mergeCell ref="B132:F132"/>
    <mergeCell ref="B131:F131"/>
    <mergeCell ref="C134:F134"/>
  </mergeCells>
  <phoneticPr fontId="0" type="noConversion"/>
  <conditionalFormatting sqref="B44:F122">
    <cfRule type="cellIs" dxfId="2" priority="6" operator="equal">
      <formula>0</formula>
    </cfRule>
  </conditionalFormatting>
  <conditionalFormatting sqref="B30:F39">
    <cfRule type="cellIs" dxfId="1" priority="3" operator="equal">
      <formula>0</formula>
    </cfRule>
    <cfRule type="cellIs" dxfId="0" priority="4" operator="equal">
      <formula>1.5</formula>
    </cfRule>
  </conditionalFormatting>
  <dataValidations count="1">
    <dataValidation type="list" allowBlank="1" showInputMessage="1" showErrorMessage="1" sqref="B1:B2" xr:uid="{DB2AB366-B864-4B65-B023-B80E758ACFF8}">
      <formula1>$AR$1:$AR$8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5" fitToHeight="0" orientation="portrait" r:id="rId1"/>
  <headerFooter alignWithMargins="0">
    <oddFooter>&amp;L&amp;F&amp;CPage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W141"/>
  <sheetViews>
    <sheetView topLeftCell="B1" zoomScale="115" zoomScaleNormal="115" zoomScaleSheetLayoutView="100" workbookViewId="0">
      <pane ySplit="8" topLeftCell="A9" activePane="bottomLeft" state="frozen"/>
      <selection activeCell="D1" sqref="D1"/>
      <selection pane="bottomLeft" activeCell="D32" sqref="D32"/>
    </sheetView>
  </sheetViews>
  <sheetFormatPr defaultColWidth="10.7109375" defaultRowHeight="12.75" x14ac:dyDescent="0.2"/>
  <cols>
    <col min="1" max="1" width="11.140625" style="27" hidden="1" customWidth="1"/>
    <col min="2" max="2" width="7.42578125" style="27" bestFit="1" customWidth="1"/>
    <col min="3" max="3" width="6.28515625" style="27" customWidth="1"/>
    <col min="4" max="4" width="66.42578125" style="23" customWidth="1"/>
    <col min="5" max="5" width="10.42578125" style="23" customWidth="1"/>
    <col min="6" max="6" width="8.5703125" style="27" customWidth="1"/>
    <col min="7" max="7" width="4.42578125" style="27" customWidth="1"/>
    <col min="8" max="9" width="8.140625" style="27" bestFit="1" customWidth="1"/>
    <col min="10" max="10" width="10.85546875" style="60" bestFit="1" customWidth="1"/>
    <col min="11" max="11" width="10" style="60" customWidth="1"/>
    <col min="12" max="12" width="12.85546875" style="60" customWidth="1"/>
    <col min="13" max="13" width="16.140625" style="60" customWidth="1"/>
    <col min="14" max="14" width="8.42578125" style="60" customWidth="1"/>
    <col min="15" max="15" width="16.28515625" style="25" customWidth="1"/>
    <col min="16" max="22" width="8.42578125" style="25" customWidth="1"/>
    <col min="23" max="27" width="10.28515625" style="25" customWidth="1"/>
    <col min="28" max="33" width="6.7109375" style="26" customWidth="1"/>
    <col min="34" max="34" width="4.7109375" style="27" customWidth="1"/>
    <col min="35" max="42" width="8.85546875" style="25" customWidth="1"/>
    <col min="43" max="43" width="7.42578125" style="25" customWidth="1"/>
    <col min="44" max="44" width="4.42578125" style="25" customWidth="1"/>
    <col min="45" max="45" width="5.42578125" style="25" bestFit="1" customWidth="1"/>
    <col min="46" max="46" width="8" style="25" customWidth="1"/>
    <col min="47" max="47" width="4.5703125" style="25" customWidth="1"/>
    <col min="48" max="48" width="2" style="28" customWidth="1"/>
    <col min="49" max="16384" width="10.7109375" style="28"/>
  </cols>
  <sheetData>
    <row r="1" spans="1:49" ht="53.25" customHeight="1" x14ac:dyDescent="0.2">
      <c r="B1" s="131"/>
      <c r="J1" s="24"/>
      <c r="K1" s="24"/>
      <c r="L1" s="24"/>
      <c r="M1" s="24"/>
      <c r="N1" s="272" t="s">
        <v>14</v>
      </c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</row>
    <row r="2" spans="1:49" ht="13.5" thickBot="1" x14ac:dyDescent="0.25">
      <c r="B2" s="287" t="s">
        <v>15</v>
      </c>
      <c r="C2" s="287"/>
      <c r="D2" s="69" t="str">
        <f>'Quote Letter '!B6</f>
        <v>Client</v>
      </c>
      <c r="J2" s="24"/>
      <c r="K2" s="24" t="s">
        <v>16</v>
      </c>
      <c r="L2" s="24" t="s">
        <v>17</v>
      </c>
      <c r="M2" s="177">
        <v>0.3</v>
      </c>
      <c r="N2" s="65"/>
    </row>
    <row r="3" spans="1:49" s="30" customFormat="1" ht="13.5" thickBot="1" x14ac:dyDescent="0.25">
      <c r="A3" s="27"/>
      <c r="B3" s="287" t="s">
        <v>18</v>
      </c>
      <c r="C3" s="287"/>
      <c r="D3" s="71">
        <f ca="1">'Quote Letter '!B13</f>
        <v>45758</v>
      </c>
      <c r="F3" s="27"/>
      <c r="G3" s="27"/>
      <c r="H3" s="27"/>
      <c r="I3" s="27"/>
      <c r="J3" s="24"/>
      <c r="K3" s="24" t="s">
        <v>16</v>
      </c>
      <c r="L3" s="24" t="s">
        <v>19</v>
      </c>
      <c r="M3" s="178">
        <v>1</v>
      </c>
      <c r="N3" s="179"/>
      <c r="O3" s="31" t="s">
        <v>20</v>
      </c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2"/>
      <c r="AC3" s="32"/>
      <c r="AD3" s="32"/>
      <c r="AE3" s="32"/>
      <c r="AF3" s="32"/>
      <c r="AG3" s="32"/>
      <c r="AH3" s="27"/>
      <c r="AI3" s="33" t="s">
        <v>21</v>
      </c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</row>
    <row r="4" spans="1:49" s="30" customFormat="1" ht="13.5" thickBot="1" x14ac:dyDescent="0.25">
      <c r="A4" s="27"/>
      <c r="B4" s="27"/>
      <c r="C4" s="29"/>
      <c r="D4" s="71"/>
      <c r="F4" s="27"/>
      <c r="G4" s="27"/>
      <c r="H4" s="27"/>
      <c r="I4" s="27"/>
      <c r="J4" s="24"/>
      <c r="K4" s="24" t="s">
        <v>16</v>
      </c>
      <c r="L4" s="24" t="s">
        <v>22</v>
      </c>
      <c r="M4" s="180">
        <v>0</v>
      </c>
      <c r="N4" s="179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32"/>
      <c r="AC4" s="32"/>
      <c r="AD4" s="32"/>
      <c r="AE4" s="32"/>
      <c r="AF4" s="32"/>
      <c r="AG4" s="32"/>
      <c r="AH4" s="27"/>
      <c r="AI4" s="107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</row>
    <row r="5" spans="1:49" s="30" customFormat="1" ht="15" customHeight="1" thickBot="1" x14ac:dyDescent="0.25">
      <c r="A5" s="35"/>
      <c r="B5" s="27"/>
      <c r="C5" s="29"/>
      <c r="D5" s="69"/>
      <c r="F5" s="27"/>
      <c r="G5" s="27"/>
      <c r="H5" s="27"/>
      <c r="I5" s="27"/>
      <c r="J5" s="24"/>
      <c r="K5" s="24" t="s">
        <v>16</v>
      </c>
      <c r="L5" s="24" t="s">
        <v>23</v>
      </c>
      <c r="M5" s="181">
        <v>0.3</v>
      </c>
      <c r="N5" s="182"/>
      <c r="O5" s="291" t="s">
        <v>24</v>
      </c>
      <c r="P5" s="292" t="s">
        <v>7</v>
      </c>
      <c r="Q5" s="292"/>
      <c r="R5" s="292" t="s">
        <v>25</v>
      </c>
      <c r="S5" s="291" t="s">
        <v>26</v>
      </c>
      <c r="T5" s="293"/>
      <c r="U5" s="293"/>
      <c r="V5" s="293"/>
      <c r="W5" s="293"/>
      <c r="X5" s="293"/>
      <c r="Y5" s="293"/>
      <c r="Z5" s="293"/>
      <c r="AA5" s="293"/>
      <c r="AB5" s="32"/>
      <c r="AC5" s="32"/>
      <c r="AD5" s="32"/>
      <c r="AE5" s="32"/>
      <c r="AF5" s="32"/>
      <c r="AG5" s="32"/>
      <c r="AH5" s="27"/>
      <c r="AI5" s="281"/>
      <c r="AJ5" s="278"/>
      <c r="AK5" s="275"/>
      <c r="AL5" s="275"/>
      <c r="AM5" s="281"/>
      <c r="AN5" s="282"/>
      <c r="AO5" s="282"/>
      <c r="AP5" s="282"/>
      <c r="AQ5" s="282"/>
      <c r="AR5" s="282"/>
      <c r="AS5" s="282"/>
      <c r="AT5" s="282"/>
      <c r="AU5" s="282"/>
    </row>
    <row r="6" spans="1:49" s="30" customFormat="1" ht="15" customHeight="1" thickBot="1" x14ac:dyDescent="0.25">
      <c r="A6" s="35"/>
      <c r="B6" s="27"/>
      <c r="C6" s="29"/>
      <c r="D6" s="69"/>
      <c r="F6" s="27"/>
      <c r="G6" s="27"/>
      <c r="H6" s="27"/>
      <c r="I6" s="27"/>
      <c r="J6" s="24"/>
      <c r="K6" s="24" t="s">
        <v>16</v>
      </c>
      <c r="L6" s="24" t="s">
        <v>27</v>
      </c>
      <c r="M6" s="183">
        <v>0.3</v>
      </c>
      <c r="N6" s="182"/>
      <c r="O6" s="291"/>
      <c r="P6" s="292"/>
      <c r="Q6" s="292"/>
      <c r="R6" s="292"/>
      <c r="S6" s="291"/>
      <c r="T6" s="293"/>
      <c r="U6" s="293"/>
      <c r="V6" s="293"/>
      <c r="W6" s="293"/>
      <c r="X6" s="293"/>
      <c r="Y6" s="293"/>
      <c r="Z6" s="293"/>
      <c r="AA6" s="293"/>
      <c r="AB6" s="32"/>
      <c r="AC6" s="32"/>
      <c r="AD6" s="32"/>
      <c r="AE6" s="32"/>
      <c r="AF6" s="32"/>
      <c r="AG6" s="32"/>
      <c r="AH6" s="27"/>
      <c r="AI6" s="283"/>
      <c r="AJ6" s="279"/>
      <c r="AK6" s="276"/>
      <c r="AL6" s="276"/>
      <c r="AM6" s="283"/>
      <c r="AN6" s="284"/>
      <c r="AO6" s="284"/>
      <c r="AP6" s="284"/>
      <c r="AQ6" s="284"/>
      <c r="AR6" s="284"/>
      <c r="AS6" s="284"/>
      <c r="AT6" s="284"/>
      <c r="AU6" s="284"/>
    </row>
    <row r="7" spans="1:49" s="30" customFormat="1" ht="13.5" customHeight="1" thickBot="1" x14ac:dyDescent="0.25">
      <c r="A7" s="35"/>
      <c r="B7" s="27"/>
      <c r="C7" s="29"/>
      <c r="D7" s="69"/>
      <c r="F7" s="27"/>
      <c r="G7" s="27"/>
      <c r="H7" s="27"/>
      <c r="I7" s="27"/>
      <c r="J7" s="24"/>
      <c r="K7" s="24" t="s">
        <v>16</v>
      </c>
      <c r="L7" s="24" t="s">
        <v>28</v>
      </c>
      <c r="M7" s="184">
        <v>0.3</v>
      </c>
      <c r="N7" s="179"/>
      <c r="O7" s="292"/>
      <c r="P7" s="292"/>
      <c r="Q7" s="292"/>
      <c r="R7" s="292"/>
      <c r="S7" s="293"/>
      <c r="T7" s="293"/>
      <c r="U7" s="293"/>
      <c r="V7" s="293"/>
      <c r="W7" s="293"/>
      <c r="X7" s="293"/>
      <c r="Y7" s="293"/>
      <c r="Z7" s="293"/>
      <c r="AA7" s="293"/>
      <c r="AB7" s="32"/>
      <c r="AC7" s="32"/>
      <c r="AD7" s="32"/>
      <c r="AE7" s="32"/>
      <c r="AF7" s="32"/>
      <c r="AG7" s="32"/>
      <c r="AH7" s="27"/>
      <c r="AI7" s="285"/>
      <c r="AJ7" s="280"/>
      <c r="AK7" s="277"/>
      <c r="AL7" s="277"/>
      <c r="AM7" s="285"/>
      <c r="AN7" s="286"/>
      <c r="AO7" s="286"/>
      <c r="AP7" s="286"/>
      <c r="AQ7" s="286"/>
      <c r="AR7" s="286"/>
      <c r="AS7" s="286"/>
      <c r="AT7" s="286"/>
      <c r="AU7" s="286"/>
    </row>
    <row r="8" spans="1:49" s="42" customFormat="1" ht="18.75" thickBot="1" x14ac:dyDescent="0.25">
      <c r="A8" s="36" t="s">
        <v>29</v>
      </c>
      <c r="B8" s="138" t="s">
        <v>30</v>
      </c>
      <c r="C8" s="139"/>
      <c r="D8" s="140"/>
      <c r="E8" s="140"/>
      <c r="F8" s="141"/>
      <c r="G8" s="141"/>
      <c r="H8" s="141"/>
      <c r="I8" s="141"/>
      <c r="J8" s="142"/>
      <c r="K8" s="142"/>
      <c r="L8" s="142"/>
      <c r="M8" s="143"/>
      <c r="N8" s="127" t="s">
        <v>31</v>
      </c>
      <c r="O8" s="167" t="s">
        <v>19</v>
      </c>
      <c r="P8" s="168" t="s">
        <v>32</v>
      </c>
      <c r="Q8" s="169" t="s">
        <v>17</v>
      </c>
      <c r="R8" s="118" t="s">
        <v>33</v>
      </c>
      <c r="S8" s="166" t="s">
        <v>34</v>
      </c>
      <c r="T8" s="166" t="s">
        <v>23</v>
      </c>
      <c r="U8" s="166" t="s">
        <v>23</v>
      </c>
      <c r="V8" s="166" t="s">
        <v>23</v>
      </c>
      <c r="W8" s="166" t="s">
        <v>23</v>
      </c>
      <c r="X8" s="166" t="s">
        <v>23</v>
      </c>
      <c r="Y8" s="166" t="s">
        <v>23</v>
      </c>
      <c r="Z8" s="166" t="s">
        <v>23</v>
      </c>
      <c r="AA8" s="166" t="s">
        <v>35</v>
      </c>
      <c r="AB8" s="37"/>
      <c r="AC8" s="37"/>
      <c r="AD8" s="37"/>
      <c r="AE8" s="37"/>
      <c r="AF8" s="37"/>
      <c r="AG8" s="37"/>
      <c r="AH8" s="38" t="s">
        <v>36</v>
      </c>
      <c r="AI8" s="39" t="str">
        <f>O8</f>
        <v>Labour</v>
      </c>
      <c r="AJ8" s="40" t="str">
        <f>P8</f>
        <v>Sub Con</v>
      </c>
      <c r="AK8" s="40" t="str">
        <f>Q8</f>
        <v>Plant</v>
      </c>
      <c r="AL8" s="40" t="s">
        <v>33</v>
      </c>
      <c r="AM8" s="40" t="str">
        <f t="shared" ref="AM8:AU8" si="0">S8</f>
        <v xml:space="preserve">Materials   </v>
      </c>
      <c r="AN8" s="40" t="str">
        <f t="shared" si="0"/>
        <v>Materials</v>
      </c>
      <c r="AO8" s="40" t="str">
        <f t="shared" si="0"/>
        <v>Materials</v>
      </c>
      <c r="AP8" s="40" t="str">
        <f t="shared" si="0"/>
        <v>Materials</v>
      </c>
      <c r="AQ8" s="40" t="str">
        <f t="shared" si="0"/>
        <v>Materials</v>
      </c>
      <c r="AR8" s="40" t="str">
        <f t="shared" si="0"/>
        <v>Materials</v>
      </c>
      <c r="AS8" s="40" t="str">
        <f t="shared" si="0"/>
        <v>Materials</v>
      </c>
      <c r="AT8" s="40" t="str">
        <f t="shared" si="0"/>
        <v>Materials</v>
      </c>
      <c r="AU8" s="40" t="str">
        <f t="shared" si="0"/>
        <v>Materails</v>
      </c>
    </row>
    <row r="9" spans="1:49" s="42" customFormat="1" ht="13.5" thickBot="1" x14ac:dyDescent="0.25">
      <c r="A9" s="43"/>
      <c r="B9" s="132"/>
      <c r="C9" s="133"/>
      <c r="D9" s="134"/>
      <c r="E9" s="135"/>
      <c r="F9" s="45"/>
      <c r="G9" s="45"/>
      <c r="H9" s="45"/>
      <c r="I9" s="45"/>
      <c r="J9" s="136"/>
      <c r="K9" s="136"/>
      <c r="L9" s="136"/>
      <c r="M9" s="137"/>
      <c r="N9" s="117">
        <v>20</v>
      </c>
      <c r="O9" s="108">
        <v>20</v>
      </c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37"/>
      <c r="AC9" s="37"/>
      <c r="AD9" s="37"/>
      <c r="AE9" s="37"/>
      <c r="AF9" s="37"/>
      <c r="AG9" s="37"/>
      <c r="AH9" s="45"/>
      <c r="AI9" s="44"/>
      <c r="AJ9" s="46">
        <f>$P9*$F9</f>
        <v>0</v>
      </c>
      <c r="AK9" s="46">
        <f>$Q9*$F9</f>
        <v>0</v>
      </c>
      <c r="AL9" s="46"/>
      <c r="AM9" s="44"/>
      <c r="AN9" s="44"/>
      <c r="AO9" s="44"/>
      <c r="AP9" s="44"/>
      <c r="AQ9" s="44"/>
      <c r="AR9" s="44"/>
      <c r="AS9" s="44"/>
      <c r="AT9" s="44"/>
      <c r="AU9" s="44"/>
    </row>
    <row r="10" spans="1:49" ht="32.25" thickBot="1" x14ac:dyDescent="0.25">
      <c r="A10" s="101"/>
      <c r="B10" s="102">
        <v>0</v>
      </c>
      <c r="C10" s="102"/>
      <c r="D10" s="144" t="s">
        <v>37</v>
      </c>
      <c r="E10" s="145"/>
      <c r="F10" s="146" t="s">
        <v>38</v>
      </c>
      <c r="G10" s="146" t="s">
        <v>39</v>
      </c>
      <c r="H10" s="146"/>
      <c r="I10" s="147" t="s">
        <v>40</v>
      </c>
      <c r="J10" s="148" t="s">
        <v>41</v>
      </c>
      <c r="K10" s="147" t="s">
        <v>42</v>
      </c>
      <c r="L10" s="148" t="s">
        <v>43</v>
      </c>
      <c r="M10" s="149" t="s">
        <v>44</v>
      </c>
      <c r="N10" s="172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H10" s="47">
        <f>C10</f>
        <v>0</v>
      </c>
      <c r="AI10" s="28"/>
      <c r="AJ10" s="46"/>
      <c r="AK10" s="46"/>
      <c r="AL10" s="46"/>
      <c r="AM10" s="28"/>
      <c r="AN10" s="28"/>
      <c r="AO10" s="28"/>
      <c r="AP10" s="28"/>
      <c r="AQ10" s="28"/>
      <c r="AR10" s="46"/>
      <c r="AS10" s="46"/>
      <c r="AT10" s="46"/>
      <c r="AU10" s="46"/>
      <c r="AW10" s="82" t="s">
        <v>45</v>
      </c>
    </row>
    <row r="11" spans="1:49" x14ac:dyDescent="0.2">
      <c r="A11" s="35"/>
      <c r="D11" s="69" t="s">
        <v>46</v>
      </c>
      <c r="E11" s="27"/>
      <c r="F11" s="27">
        <f>Preliminaries!A$46</f>
        <v>1</v>
      </c>
      <c r="G11" s="27" t="s">
        <v>54</v>
      </c>
      <c r="I11" s="24">
        <f>IFERROR(VLOOKUP(D11,Preliminaries!$B$2:$D$45,2,FALSE),0)</f>
        <v>0</v>
      </c>
      <c r="J11" s="24">
        <f>IFERROR(VLOOKUP(D11,Preliminaries!$B$3:$D$45,3,FALSE),0)</f>
        <v>0</v>
      </c>
      <c r="K11" s="54">
        <f t="shared" ref="K11" si="1">IFERROR((I11*F11),0)</f>
        <v>0</v>
      </c>
      <c r="L11" s="24">
        <f t="shared" ref="L11" si="2">J11</f>
        <v>0</v>
      </c>
      <c r="M11" s="185">
        <f>IFERROR((K11+L11)*(1+M$7),0)</f>
        <v>0</v>
      </c>
      <c r="N11" s="112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H11" s="47"/>
      <c r="AI11" s="28"/>
      <c r="AJ11" s="46"/>
      <c r="AK11" s="46"/>
      <c r="AL11" s="46"/>
      <c r="AM11" s="28"/>
      <c r="AN11" s="28"/>
      <c r="AO11" s="28"/>
      <c r="AP11" s="28"/>
      <c r="AQ11" s="28"/>
      <c r="AR11" s="46"/>
      <c r="AS11" s="46"/>
      <c r="AT11" s="46"/>
      <c r="AU11" s="46"/>
      <c r="AW11" s="28" t="s">
        <v>47</v>
      </c>
    </row>
    <row r="12" spans="1:49" x14ac:dyDescent="0.2">
      <c r="A12" s="35"/>
      <c r="D12" s="69" t="s">
        <v>48</v>
      </c>
      <c r="E12" s="27"/>
      <c r="F12" s="27">
        <f>Preliminaries!A$46</f>
        <v>1</v>
      </c>
      <c r="G12" s="27" t="s">
        <v>54</v>
      </c>
      <c r="I12" s="24">
        <f>IFERROR(VLOOKUP(D12,Preliminaries!$B$3:$D$45,2,FALSE),0)</f>
        <v>0</v>
      </c>
      <c r="J12" s="24">
        <f>IFERROR(VLOOKUP(D12,Preliminaries!$B$3:$D$45,3,FALSE),0)</f>
        <v>0</v>
      </c>
      <c r="K12" s="54">
        <f t="shared" ref="K12:K23" si="3">IFERROR((I12*F12),0)</f>
        <v>0</v>
      </c>
      <c r="L12" s="24">
        <f t="shared" ref="L12:L23" si="4">J12</f>
        <v>0</v>
      </c>
      <c r="M12" s="185">
        <f t="shared" ref="M12:M23" si="5">IFERROR((K12+L12)*(1+M$7),0)</f>
        <v>0</v>
      </c>
      <c r="N12" s="112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H12" s="47"/>
      <c r="AI12" s="28"/>
      <c r="AJ12" s="46"/>
      <c r="AK12" s="46"/>
      <c r="AL12" s="46"/>
      <c r="AM12" s="28"/>
      <c r="AN12" s="28"/>
      <c r="AO12" s="28"/>
      <c r="AP12" s="28"/>
      <c r="AQ12" s="28"/>
      <c r="AR12" s="46"/>
      <c r="AS12" s="46"/>
      <c r="AT12" s="46"/>
      <c r="AU12" s="46"/>
      <c r="AW12" s="82" t="s">
        <v>49</v>
      </c>
    </row>
    <row r="13" spans="1:49" x14ac:dyDescent="0.2">
      <c r="A13" s="35"/>
      <c r="D13" s="69" t="s">
        <v>50</v>
      </c>
      <c r="E13" s="27"/>
      <c r="F13" s="27">
        <f>Preliminaries!A$46</f>
        <v>1</v>
      </c>
      <c r="G13" s="27" t="s">
        <v>54</v>
      </c>
      <c r="I13" s="24">
        <f>IFERROR(VLOOKUP(D13,Preliminaries!$B$3:$D$45,2,FALSE),0)</f>
        <v>0</v>
      </c>
      <c r="J13" s="24">
        <f>IFERROR(VLOOKUP(D13,Preliminaries!$B$3:$D$45,3,FALSE),0)</f>
        <v>0</v>
      </c>
      <c r="K13" s="54">
        <f t="shared" si="3"/>
        <v>0</v>
      </c>
      <c r="L13" s="24">
        <f t="shared" si="4"/>
        <v>0</v>
      </c>
      <c r="M13" s="185">
        <f t="shared" si="5"/>
        <v>0</v>
      </c>
      <c r="N13" s="112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H13" s="47"/>
      <c r="AI13" s="28"/>
      <c r="AJ13" s="46"/>
      <c r="AK13" s="46"/>
      <c r="AL13" s="46"/>
      <c r="AM13" s="28"/>
      <c r="AN13" s="28"/>
      <c r="AO13" s="28"/>
      <c r="AP13" s="28"/>
      <c r="AQ13" s="28"/>
      <c r="AR13" s="46"/>
      <c r="AS13" s="46"/>
      <c r="AT13" s="46"/>
      <c r="AU13" s="46"/>
      <c r="AW13" s="82" t="s">
        <v>51</v>
      </c>
    </row>
    <row r="14" spans="1:49" x14ac:dyDescent="0.2">
      <c r="A14" s="35"/>
      <c r="D14" s="69"/>
      <c r="E14" s="27"/>
      <c r="F14" s="27">
        <f>Preliminaries!A$46</f>
        <v>1</v>
      </c>
      <c r="I14" s="24">
        <f>IFERROR(VLOOKUP(D14,Preliminaries!$B$3:$D$45,2,FALSE),0)</f>
        <v>0</v>
      </c>
      <c r="J14" s="24">
        <f>IFERROR(VLOOKUP(D14,Preliminaries!$B$3:$D$45,3,FALSE),0)</f>
        <v>0</v>
      </c>
      <c r="K14" s="54">
        <f t="shared" si="3"/>
        <v>0</v>
      </c>
      <c r="L14" s="24">
        <f t="shared" si="4"/>
        <v>0</v>
      </c>
      <c r="M14" s="185">
        <f t="shared" si="5"/>
        <v>0</v>
      </c>
      <c r="N14" s="112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H14" s="47"/>
      <c r="AI14" s="28"/>
      <c r="AJ14" s="46"/>
      <c r="AK14" s="46"/>
      <c r="AL14" s="46"/>
      <c r="AM14" s="28"/>
      <c r="AN14" s="28"/>
      <c r="AO14" s="28"/>
      <c r="AP14" s="28"/>
      <c r="AQ14" s="28"/>
      <c r="AR14" s="46"/>
      <c r="AS14" s="46"/>
      <c r="AT14" s="46"/>
      <c r="AU14" s="46"/>
      <c r="AW14" s="82" t="s">
        <v>53</v>
      </c>
    </row>
    <row r="15" spans="1:49" x14ac:dyDescent="0.2">
      <c r="A15" s="35"/>
      <c r="D15" s="69"/>
      <c r="E15" s="27"/>
      <c r="F15" s="27">
        <f>Preliminaries!A$46</f>
        <v>1</v>
      </c>
      <c r="I15" s="24">
        <f>IFERROR(VLOOKUP(D15,Preliminaries!$B$3:$D$45,2,FALSE),0)</f>
        <v>0</v>
      </c>
      <c r="J15" s="24">
        <f>IFERROR(VLOOKUP(D15,Preliminaries!$B$3:$D$45,3,FALSE),0)</f>
        <v>0</v>
      </c>
      <c r="K15" s="54">
        <f t="shared" si="3"/>
        <v>0</v>
      </c>
      <c r="L15" s="24">
        <f t="shared" si="4"/>
        <v>0</v>
      </c>
      <c r="M15" s="185">
        <f t="shared" si="5"/>
        <v>0</v>
      </c>
      <c r="N15" s="112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H15" s="47"/>
      <c r="AI15" s="28"/>
      <c r="AJ15" s="46"/>
      <c r="AK15" s="46"/>
      <c r="AL15" s="46"/>
      <c r="AM15" s="28"/>
      <c r="AN15" s="28"/>
      <c r="AO15" s="28"/>
      <c r="AP15" s="28"/>
      <c r="AQ15" s="28"/>
      <c r="AR15" s="46"/>
      <c r="AS15" s="46"/>
      <c r="AT15" s="46"/>
      <c r="AU15" s="46"/>
      <c r="AW15" s="82" t="s">
        <v>54</v>
      </c>
    </row>
    <row r="16" spans="1:49" hidden="1" x14ac:dyDescent="0.2">
      <c r="A16" s="35"/>
      <c r="D16" s="69"/>
      <c r="E16" s="27"/>
      <c r="F16" s="27">
        <f>Preliminaries!A$46</f>
        <v>1</v>
      </c>
      <c r="I16" s="24">
        <f>IFERROR(VLOOKUP(D16,Preliminaries!$B$3:$D$45,2,FALSE),0)</f>
        <v>0</v>
      </c>
      <c r="J16" s="24">
        <f>IFERROR(VLOOKUP(D16,Preliminaries!$B$3:$D$45,3,FALSE),0)</f>
        <v>0</v>
      </c>
      <c r="K16" s="54">
        <f t="shared" si="3"/>
        <v>0</v>
      </c>
      <c r="L16" s="24">
        <f t="shared" si="4"/>
        <v>0</v>
      </c>
      <c r="M16" s="185">
        <f t="shared" si="5"/>
        <v>0</v>
      </c>
      <c r="N16" s="112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H16" s="47"/>
      <c r="AI16" s="28"/>
      <c r="AJ16" s="46"/>
      <c r="AK16" s="46"/>
      <c r="AL16" s="46"/>
      <c r="AM16" s="28"/>
      <c r="AN16" s="28"/>
      <c r="AO16" s="28"/>
      <c r="AP16" s="28"/>
      <c r="AQ16" s="28"/>
      <c r="AR16" s="46"/>
      <c r="AS16" s="46"/>
      <c r="AT16" s="46"/>
      <c r="AU16" s="46"/>
      <c r="AW16" s="28" t="s">
        <v>33</v>
      </c>
    </row>
    <row r="17" spans="1:49" hidden="1" x14ac:dyDescent="0.2">
      <c r="A17" s="35"/>
      <c r="D17" s="69"/>
      <c r="E17" s="27"/>
      <c r="F17" s="27">
        <f>Preliminaries!A$46</f>
        <v>1</v>
      </c>
      <c r="I17" s="24">
        <f>IFERROR(VLOOKUP(D17,Preliminaries!$B$3:$D$45,2,FALSE),0)</f>
        <v>0</v>
      </c>
      <c r="J17" s="24">
        <f>IFERROR(VLOOKUP(D17,Preliminaries!$B$3:$D$45,3,FALSE),0)</f>
        <v>0</v>
      </c>
      <c r="K17" s="54">
        <f t="shared" si="3"/>
        <v>0</v>
      </c>
      <c r="L17" s="24">
        <f t="shared" si="4"/>
        <v>0</v>
      </c>
      <c r="M17" s="185">
        <f t="shared" si="5"/>
        <v>0</v>
      </c>
      <c r="N17" s="112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H17" s="47"/>
      <c r="AI17" s="28"/>
      <c r="AJ17" s="46"/>
      <c r="AK17" s="46"/>
      <c r="AL17" s="46"/>
      <c r="AM17" s="28"/>
      <c r="AN17" s="28"/>
      <c r="AO17" s="28"/>
      <c r="AP17" s="28"/>
      <c r="AQ17" s="28"/>
      <c r="AR17" s="46"/>
      <c r="AS17" s="46"/>
      <c r="AT17" s="46"/>
      <c r="AU17" s="46"/>
      <c r="AW17" s="28" t="s">
        <v>55</v>
      </c>
    </row>
    <row r="18" spans="1:49" hidden="1" x14ac:dyDescent="0.2">
      <c r="A18" s="35"/>
      <c r="D18" s="69"/>
      <c r="E18" s="27"/>
      <c r="F18" s="27">
        <f>Preliminaries!A$46</f>
        <v>1</v>
      </c>
      <c r="I18" s="24">
        <f>IFERROR(VLOOKUP(D18,Preliminaries!$B$3:$D$45,2,FALSE),0)</f>
        <v>0</v>
      </c>
      <c r="J18" s="24">
        <f>IFERROR(VLOOKUP(D18,Preliminaries!$B$3:$D$45,3,FALSE),0)</f>
        <v>0</v>
      </c>
      <c r="K18" s="54">
        <f t="shared" si="3"/>
        <v>0</v>
      </c>
      <c r="L18" s="24">
        <f t="shared" si="4"/>
        <v>0</v>
      </c>
      <c r="M18" s="185">
        <f t="shared" si="5"/>
        <v>0</v>
      </c>
      <c r="N18" s="112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H18" s="47"/>
      <c r="AI18" s="28"/>
      <c r="AJ18" s="46"/>
      <c r="AK18" s="46"/>
      <c r="AL18" s="46"/>
      <c r="AM18" s="28"/>
      <c r="AN18" s="28"/>
      <c r="AO18" s="28"/>
      <c r="AP18" s="28"/>
      <c r="AQ18" s="28"/>
      <c r="AR18" s="46"/>
      <c r="AS18" s="46"/>
      <c r="AT18" s="46"/>
      <c r="AU18" s="46"/>
    </row>
    <row r="19" spans="1:49" hidden="1" x14ac:dyDescent="0.2">
      <c r="A19" s="35"/>
      <c r="D19" s="69"/>
      <c r="E19" s="27"/>
      <c r="F19" s="27">
        <f>Preliminaries!A$46</f>
        <v>1</v>
      </c>
      <c r="I19" s="24">
        <f>IFERROR(VLOOKUP(D19,Preliminaries!$B$3:$D$45,2,FALSE),0)</f>
        <v>0</v>
      </c>
      <c r="J19" s="24">
        <f>IFERROR(VLOOKUP(D19,Preliminaries!$B$3:$D$45,3,FALSE),0)</f>
        <v>0</v>
      </c>
      <c r="K19" s="54">
        <f t="shared" si="3"/>
        <v>0</v>
      </c>
      <c r="L19" s="24">
        <f t="shared" si="4"/>
        <v>0</v>
      </c>
      <c r="M19" s="185">
        <f t="shared" si="5"/>
        <v>0</v>
      </c>
      <c r="N19" s="112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H19" s="47"/>
      <c r="AI19" s="28"/>
      <c r="AJ19" s="46"/>
      <c r="AK19" s="46"/>
      <c r="AL19" s="46"/>
      <c r="AM19" s="28"/>
      <c r="AN19" s="28"/>
      <c r="AO19" s="28"/>
      <c r="AP19" s="28"/>
      <c r="AQ19" s="28"/>
      <c r="AR19" s="46"/>
      <c r="AS19" s="46"/>
      <c r="AT19" s="46"/>
      <c r="AU19" s="46"/>
    </row>
    <row r="20" spans="1:49" hidden="1" x14ac:dyDescent="0.2">
      <c r="A20" s="35"/>
      <c r="D20" s="69"/>
      <c r="E20" s="27"/>
      <c r="F20" s="27">
        <f>Preliminaries!A$46</f>
        <v>1</v>
      </c>
      <c r="I20" s="24">
        <f>IFERROR(VLOOKUP(D20,Preliminaries!$B$3:$D$45,2,FALSE),0)</f>
        <v>0</v>
      </c>
      <c r="J20" s="24">
        <f>IFERROR(VLOOKUP(D20,Preliminaries!$B$3:$D$45,3,FALSE),0)</f>
        <v>0</v>
      </c>
      <c r="K20" s="54">
        <f t="shared" si="3"/>
        <v>0</v>
      </c>
      <c r="L20" s="24">
        <f t="shared" si="4"/>
        <v>0</v>
      </c>
      <c r="M20" s="185">
        <f t="shared" si="5"/>
        <v>0</v>
      </c>
      <c r="N20" s="112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H20" s="47"/>
      <c r="AI20" s="28"/>
      <c r="AJ20" s="46"/>
      <c r="AK20" s="46"/>
      <c r="AL20" s="46"/>
      <c r="AM20" s="28"/>
      <c r="AN20" s="28"/>
      <c r="AO20" s="28"/>
      <c r="AP20" s="28"/>
      <c r="AQ20" s="28"/>
      <c r="AR20" s="46"/>
      <c r="AS20" s="46"/>
      <c r="AT20" s="46"/>
      <c r="AU20" s="46"/>
    </row>
    <row r="21" spans="1:49" hidden="1" x14ac:dyDescent="0.2">
      <c r="A21" s="35"/>
      <c r="D21" s="69"/>
      <c r="E21" s="27"/>
      <c r="F21" s="27">
        <f>Preliminaries!A$46</f>
        <v>1</v>
      </c>
      <c r="I21" s="24">
        <f>IFERROR(VLOOKUP(D21,Preliminaries!$B$3:$D$45,2,FALSE),0)</f>
        <v>0</v>
      </c>
      <c r="J21" s="24">
        <f>IFERROR(VLOOKUP(D21,Preliminaries!$B$3:$D$45,3,FALSE),0)</f>
        <v>0</v>
      </c>
      <c r="K21" s="54">
        <f t="shared" si="3"/>
        <v>0</v>
      </c>
      <c r="L21" s="24">
        <f t="shared" si="4"/>
        <v>0</v>
      </c>
      <c r="M21" s="185">
        <f t="shared" si="5"/>
        <v>0</v>
      </c>
      <c r="N21" s="112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H21" s="47"/>
      <c r="AI21" s="28"/>
      <c r="AJ21" s="46"/>
      <c r="AK21" s="46"/>
      <c r="AL21" s="46"/>
      <c r="AM21" s="28"/>
      <c r="AN21" s="28"/>
      <c r="AO21" s="28"/>
      <c r="AP21" s="28"/>
      <c r="AQ21" s="28"/>
      <c r="AR21" s="46"/>
      <c r="AS21" s="46"/>
      <c r="AT21" s="46"/>
      <c r="AU21" s="46"/>
    </row>
    <row r="22" spans="1:49" hidden="1" x14ac:dyDescent="0.2">
      <c r="A22" s="35"/>
      <c r="D22" s="69"/>
      <c r="E22" s="27"/>
      <c r="F22" s="27">
        <f>Preliminaries!A$46</f>
        <v>1</v>
      </c>
      <c r="I22" s="24">
        <f>IFERROR(VLOOKUP(D22,Preliminaries!$B$3:$D$45,2,FALSE),0)</f>
        <v>0</v>
      </c>
      <c r="J22" s="24">
        <f>IFERROR(VLOOKUP(D22,Preliminaries!$B$3:$D$45,3,FALSE),0)</f>
        <v>0</v>
      </c>
      <c r="K22" s="54">
        <f t="shared" si="3"/>
        <v>0</v>
      </c>
      <c r="L22" s="24">
        <f t="shared" si="4"/>
        <v>0</v>
      </c>
      <c r="M22" s="185">
        <f t="shared" si="5"/>
        <v>0</v>
      </c>
      <c r="N22" s="112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H22" s="47"/>
      <c r="AI22" s="28"/>
      <c r="AJ22" s="46"/>
      <c r="AK22" s="46"/>
      <c r="AL22" s="46"/>
      <c r="AM22" s="28"/>
      <c r="AN22" s="28"/>
      <c r="AO22" s="28"/>
      <c r="AP22" s="28"/>
      <c r="AQ22" s="28"/>
      <c r="AR22" s="46"/>
      <c r="AS22" s="46"/>
      <c r="AT22" s="46"/>
      <c r="AU22" s="46"/>
    </row>
    <row r="23" spans="1:49" ht="13.5" thickBot="1" x14ac:dyDescent="0.25">
      <c r="A23" s="35"/>
      <c r="D23" s="69"/>
      <c r="E23" s="27"/>
      <c r="F23" s="27">
        <f>Preliminaries!A$46</f>
        <v>1</v>
      </c>
      <c r="I23" s="24">
        <f>IFERROR(VLOOKUP(D23,Preliminaries!$B$3:$D$45,2,FALSE),0)</f>
        <v>0</v>
      </c>
      <c r="J23" s="24">
        <f>IFERROR(VLOOKUP(D23,Preliminaries!$B$3:$D$45,3,FALSE),0)</f>
        <v>0</v>
      </c>
      <c r="K23" s="54">
        <f t="shared" si="3"/>
        <v>0</v>
      </c>
      <c r="L23" s="24">
        <f t="shared" si="4"/>
        <v>0</v>
      </c>
      <c r="M23" s="185">
        <f t="shared" si="5"/>
        <v>0</v>
      </c>
      <c r="N23" s="112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H23" s="47"/>
      <c r="AI23" s="28"/>
      <c r="AJ23" s="46"/>
      <c r="AK23" s="46"/>
      <c r="AL23" s="46"/>
      <c r="AM23" s="28"/>
      <c r="AN23" s="28"/>
      <c r="AO23" s="28"/>
      <c r="AP23" s="28"/>
      <c r="AQ23" s="28"/>
      <c r="AR23" s="46"/>
      <c r="AS23" s="46"/>
      <c r="AT23" s="46"/>
      <c r="AU23" s="46"/>
    </row>
    <row r="24" spans="1:49" ht="13.5" thickBot="1" x14ac:dyDescent="0.25">
      <c r="A24" s="49"/>
      <c r="B24" s="50"/>
      <c r="D24" s="241" t="s">
        <v>56</v>
      </c>
      <c r="H24" s="54"/>
      <c r="I24" s="54"/>
      <c r="J24" s="147" t="s">
        <v>57</v>
      </c>
      <c r="K24" s="147">
        <f>SUM(M11:M23)</f>
        <v>0</v>
      </c>
      <c r="L24" s="48"/>
      <c r="M24" s="185"/>
      <c r="N24" s="112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H24" s="47"/>
      <c r="AI24" s="28"/>
      <c r="AJ24" s="46">
        <f>$P24*$F24</f>
        <v>0</v>
      </c>
      <c r="AK24" s="46">
        <f>$Q24*$F24</f>
        <v>0</v>
      </c>
      <c r="AL24" s="46"/>
      <c r="AM24" s="28"/>
      <c r="AN24" s="28"/>
      <c r="AO24" s="28"/>
      <c r="AP24" s="28"/>
      <c r="AQ24" s="28"/>
      <c r="AR24" s="46">
        <f t="shared" ref="AR24:AU24" si="6">SUM(AR10:AR10)</f>
        <v>0</v>
      </c>
      <c r="AS24" s="46">
        <f t="shared" si="6"/>
        <v>0</v>
      </c>
      <c r="AT24" s="46">
        <f t="shared" si="6"/>
        <v>0</v>
      </c>
      <c r="AU24" s="46">
        <f t="shared" si="6"/>
        <v>0</v>
      </c>
    </row>
    <row r="25" spans="1:49" s="126" customFormat="1" ht="21.75" thickBot="1" x14ac:dyDescent="0.25">
      <c r="A25" s="121"/>
      <c r="B25" s="122">
        <v>0</v>
      </c>
      <c r="C25" s="128"/>
      <c r="D25" s="150" t="s">
        <v>58</v>
      </c>
      <c r="E25" s="151" t="s">
        <v>59</v>
      </c>
      <c r="F25" s="152" t="s">
        <v>60</v>
      </c>
      <c r="G25" s="146" t="s">
        <v>39</v>
      </c>
      <c r="H25" s="153" t="s">
        <v>61</v>
      </c>
      <c r="I25" s="153" t="s">
        <v>62</v>
      </c>
      <c r="J25" s="147" t="s">
        <v>63</v>
      </c>
      <c r="K25" s="147" t="s">
        <v>64</v>
      </c>
      <c r="L25" s="147" t="s">
        <v>65</v>
      </c>
      <c r="M25" s="154" t="s">
        <v>44</v>
      </c>
      <c r="N25" s="170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24"/>
      <c r="AC25" s="124"/>
      <c r="AD25" s="124"/>
      <c r="AE25" s="124"/>
      <c r="AF25" s="124"/>
      <c r="AG25" s="124"/>
      <c r="AH25" s="125">
        <f t="shared" ref="AH25:AH33" si="7">C25</f>
        <v>0</v>
      </c>
      <c r="AJ25" s="123"/>
      <c r="AK25" s="123"/>
      <c r="AL25" s="123"/>
      <c r="AR25" s="123"/>
      <c r="AS25" s="123"/>
      <c r="AT25" s="123"/>
      <c r="AU25" s="123"/>
    </row>
    <row r="26" spans="1:49" s="126" customFormat="1" x14ac:dyDescent="0.2">
      <c r="A26" s="164"/>
      <c r="B26" s="165"/>
      <c r="C26" s="165"/>
      <c r="D26" s="72"/>
      <c r="E26" s="186"/>
      <c r="F26" s="27"/>
      <c r="G26" s="27"/>
      <c r="H26" s="54">
        <f t="shared" ref="H26:H60" si="8">SUM(O26:O26)</f>
        <v>0</v>
      </c>
      <c r="I26" s="54">
        <f t="shared" ref="I26:I60" si="9">SUM(S26:AA26)</f>
        <v>0</v>
      </c>
      <c r="J26" s="24">
        <f t="shared" ref="J26:J42" si="10">H26+I26</f>
        <v>0</v>
      </c>
      <c r="K26" s="24">
        <f t="shared" ref="K26:K42" si="11">J26*F26</f>
        <v>0</v>
      </c>
      <c r="L26" s="24">
        <f t="shared" ref="L26:L60" si="12">H26*(1+M$3)+I26*(1+M$5)+R26*(1+M$4)+Q26*(1+M$2)+P26*(1+M$6)</f>
        <v>0</v>
      </c>
      <c r="M26" s="55">
        <f t="shared" ref="M26:M30" si="13">SUM(F26*L26)</f>
        <v>0</v>
      </c>
      <c r="N26" s="113"/>
      <c r="O26" s="46">
        <f>N26*N$9</f>
        <v>0</v>
      </c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26"/>
      <c r="AC26" s="26"/>
      <c r="AD26" s="26"/>
      <c r="AE26" s="26"/>
      <c r="AF26" s="26"/>
      <c r="AG26" s="26"/>
      <c r="AH26" s="47">
        <f t="shared" si="7"/>
        <v>0</v>
      </c>
      <c r="AI26" s="46" cm="1">
        <f t="array" ref="AI26">SUM(O26:O26*$F26)</f>
        <v>0</v>
      </c>
      <c r="AJ26" s="46">
        <f t="shared" ref="AJ26:AJ60" si="14">$P26*$F26</f>
        <v>0</v>
      </c>
      <c r="AK26" s="46">
        <f t="shared" ref="AK26:AK60" si="15">$Q26*$F26</f>
        <v>0</v>
      </c>
      <c r="AL26" s="46">
        <f t="shared" ref="AL26:AL60" si="16">$R26*$F26</f>
        <v>0</v>
      </c>
      <c r="AM26" s="46">
        <f t="shared" ref="AM26:AM60" si="17">$S26*$F26</f>
        <v>0</v>
      </c>
      <c r="AN26" s="46">
        <f t="shared" ref="AN26:AN60" si="18">$T26*$F26</f>
        <v>0</v>
      </c>
      <c r="AO26" s="46">
        <f t="shared" ref="AO26:AO60" si="19">$U26*$F26</f>
        <v>0</v>
      </c>
      <c r="AP26" s="46">
        <f t="shared" ref="AP26:AP60" si="20">$V26*$F26</f>
        <v>0</v>
      </c>
      <c r="AQ26" s="46">
        <f t="shared" ref="AQ26:AQ60" si="21">$W26*$F26</f>
        <v>0</v>
      </c>
      <c r="AR26" s="46">
        <f t="shared" ref="AR26:AR60" si="22">$X26*$F26</f>
        <v>0</v>
      </c>
      <c r="AS26" s="46">
        <f t="shared" ref="AS26:AS60" si="23">$Y26*$F26</f>
        <v>0</v>
      </c>
      <c r="AT26" s="46">
        <f t="shared" ref="AT26:AT60" si="24">$Z26*$F26</f>
        <v>0</v>
      </c>
      <c r="AU26" s="46">
        <f t="shared" ref="AU26:AU60" si="25">$AA26*$F26</f>
        <v>0</v>
      </c>
    </row>
    <row r="27" spans="1:49" s="126" customFormat="1" x14ac:dyDescent="0.2">
      <c r="A27" s="164"/>
      <c r="B27" s="165"/>
      <c r="C27" s="165"/>
      <c r="D27" s="72"/>
      <c r="E27" s="247"/>
      <c r="F27" s="27">
        <v>1</v>
      </c>
      <c r="G27" s="165"/>
      <c r="H27" s="248">
        <f t="shared" si="8"/>
        <v>0</v>
      </c>
      <c r="I27" s="248">
        <f t="shared" si="9"/>
        <v>0</v>
      </c>
      <c r="J27" s="249">
        <f t="shared" si="10"/>
        <v>0</v>
      </c>
      <c r="K27" s="249">
        <f t="shared" si="11"/>
        <v>0</v>
      </c>
      <c r="L27" s="249">
        <f t="shared" si="12"/>
        <v>0</v>
      </c>
      <c r="M27" s="250">
        <f t="shared" si="13"/>
        <v>0</v>
      </c>
      <c r="N27" s="251"/>
      <c r="O27" s="123">
        <f t="shared" ref="O27:O42" si="26">N27*N$9</f>
        <v>0</v>
      </c>
      <c r="P27" s="123"/>
      <c r="Q27" s="123"/>
      <c r="R27" s="123"/>
      <c r="S27" s="123"/>
      <c r="T27" s="46"/>
      <c r="U27" s="46"/>
      <c r="V27" s="46"/>
      <c r="W27" s="46"/>
      <c r="X27" s="46"/>
      <c r="Y27" s="46"/>
      <c r="Z27" s="46"/>
      <c r="AA27" s="46"/>
      <c r="AB27" s="26"/>
      <c r="AC27" s="26"/>
      <c r="AD27" s="26"/>
      <c r="AE27" s="26"/>
      <c r="AF27" s="26"/>
      <c r="AG27" s="26"/>
      <c r="AH27" s="47">
        <f t="shared" si="7"/>
        <v>0</v>
      </c>
      <c r="AI27" s="46" cm="1">
        <f t="array" ref="AI27">SUM(O27:O27*$F27)</f>
        <v>0</v>
      </c>
      <c r="AJ27" s="46">
        <f t="shared" si="14"/>
        <v>0</v>
      </c>
      <c r="AK27" s="46">
        <f t="shared" si="15"/>
        <v>0</v>
      </c>
      <c r="AL27" s="46">
        <f t="shared" si="16"/>
        <v>0</v>
      </c>
      <c r="AM27" s="46">
        <f t="shared" si="17"/>
        <v>0</v>
      </c>
      <c r="AN27" s="46">
        <f t="shared" si="18"/>
        <v>0</v>
      </c>
      <c r="AO27" s="46">
        <f t="shared" si="19"/>
        <v>0</v>
      </c>
      <c r="AP27" s="46">
        <f t="shared" si="20"/>
        <v>0</v>
      </c>
      <c r="AQ27" s="46">
        <f t="shared" si="21"/>
        <v>0</v>
      </c>
      <c r="AR27" s="46">
        <f t="shared" si="22"/>
        <v>0</v>
      </c>
      <c r="AS27" s="46">
        <f t="shared" si="23"/>
        <v>0</v>
      </c>
      <c r="AT27" s="46">
        <f t="shared" si="24"/>
        <v>0</v>
      </c>
      <c r="AU27" s="46">
        <f t="shared" si="25"/>
        <v>0</v>
      </c>
    </row>
    <row r="28" spans="1:49" s="126" customFormat="1" x14ac:dyDescent="0.2">
      <c r="A28" s="164"/>
      <c r="B28" s="165"/>
      <c r="C28" s="165"/>
      <c r="D28" s="72"/>
      <c r="E28" s="247"/>
      <c r="F28" s="27">
        <v>1</v>
      </c>
      <c r="G28" s="165"/>
      <c r="H28" s="248">
        <f t="shared" si="8"/>
        <v>0</v>
      </c>
      <c r="I28" s="248">
        <f t="shared" si="9"/>
        <v>0</v>
      </c>
      <c r="J28" s="249">
        <f t="shared" si="10"/>
        <v>0</v>
      </c>
      <c r="K28" s="249">
        <f t="shared" si="11"/>
        <v>0</v>
      </c>
      <c r="L28" s="249">
        <f t="shared" si="12"/>
        <v>0</v>
      </c>
      <c r="M28" s="250">
        <f t="shared" si="13"/>
        <v>0</v>
      </c>
      <c r="N28" s="251"/>
      <c r="O28" s="123">
        <f t="shared" si="26"/>
        <v>0</v>
      </c>
      <c r="P28" s="123"/>
      <c r="Q28" s="123"/>
      <c r="R28" s="123"/>
      <c r="S28" s="123"/>
      <c r="T28" s="46"/>
      <c r="U28" s="46"/>
      <c r="V28" s="46"/>
      <c r="W28" s="46"/>
      <c r="X28" s="46"/>
      <c r="Y28" s="46"/>
      <c r="Z28" s="46"/>
      <c r="AA28" s="46"/>
      <c r="AB28" s="26"/>
      <c r="AC28" s="26"/>
      <c r="AD28" s="26"/>
      <c r="AE28" s="26"/>
      <c r="AF28" s="26"/>
      <c r="AG28" s="26"/>
      <c r="AH28" s="47">
        <f t="shared" si="7"/>
        <v>0</v>
      </c>
      <c r="AI28" s="46" cm="1">
        <f t="array" ref="AI28">SUM(O28:O28*$F28)</f>
        <v>0</v>
      </c>
      <c r="AJ28" s="46">
        <f t="shared" si="14"/>
        <v>0</v>
      </c>
      <c r="AK28" s="46">
        <f t="shared" si="15"/>
        <v>0</v>
      </c>
      <c r="AL28" s="46">
        <f t="shared" si="16"/>
        <v>0</v>
      </c>
      <c r="AM28" s="46">
        <f t="shared" si="17"/>
        <v>0</v>
      </c>
      <c r="AN28" s="46">
        <f t="shared" si="18"/>
        <v>0</v>
      </c>
      <c r="AO28" s="46">
        <f t="shared" si="19"/>
        <v>0</v>
      </c>
      <c r="AP28" s="46">
        <f t="shared" si="20"/>
        <v>0</v>
      </c>
      <c r="AQ28" s="46">
        <f t="shared" si="21"/>
        <v>0</v>
      </c>
      <c r="AR28" s="46">
        <f t="shared" si="22"/>
        <v>0</v>
      </c>
      <c r="AS28" s="46">
        <f t="shared" si="23"/>
        <v>0</v>
      </c>
      <c r="AT28" s="46">
        <f t="shared" si="24"/>
        <v>0</v>
      </c>
      <c r="AU28" s="46">
        <f t="shared" si="25"/>
        <v>0</v>
      </c>
    </row>
    <row r="29" spans="1:49" s="126" customFormat="1" x14ac:dyDescent="0.2">
      <c r="A29" s="164"/>
      <c r="B29" s="165"/>
      <c r="C29" s="165"/>
      <c r="D29" s="72"/>
      <c r="E29" s="247"/>
      <c r="F29" s="27">
        <v>1</v>
      </c>
      <c r="G29" s="165"/>
      <c r="H29" s="248">
        <f t="shared" si="8"/>
        <v>0</v>
      </c>
      <c r="I29" s="248">
        <f t="shared" si="9"/>
        <v>0</v>
      </c>
      <c r="J29" s="249">
        <f t="shared" si="10"/>
        <v>0</v>
      </c>
      <c r="K29" s="249">
        <f t="shared" si="11"/>
        <v>0</v>
      </c>
      <c r="L29" s="249">
        <f t="shared" si="12"/>
        <v>0</v>
      </c>
      <c r="M29" s="250">
        <f t="shared" si="13"/>
        <v>0</v>
      </c>
      <c r="N29" s="251"/>
      <c r="O29" s="123">
        <f t="shared" si="26"/>
        <v>0</v>
      </c>
      <c r="P29" s="123"/>
      <c r="Q29" s="123"/>
      <c r="R29" s="123"/>
      <c r="S29" s="123"/>
      <c r="T29" s="46"/>
      <c r="U29" s="46"/>
      <c r="V29" s="46"/>
      <c r="W29" s="46"/>
      <c r="X29" s="46"/>
      <c r="Y29" s="46"/>
      <c r="Z29" s="46"/>
      <c r="AA29" s="46"/>
      <c r="AB29" s="26"/>
      <c r="AC29" s="26"/>
      <c r="AD29" s="26"/>
      <c r="AE29" s="26"/>
      <c r="AF29" s="26"/>
      <c r="AG29" s="26"/>
      <c r="AH29" s="47">
        <f t="shared" si="7"/>
        <v>0</v>
      </c>
      <c r="AI29" s="46" cm="1">
        <f t="array" ref="AI29">SUM(O29:O29*$F29)</f>
        <v>0</v>
      </c>
      <c r="AJ29" s="46">
        <f t="shared" si="14"/>
        <v>0</v>
      </c>
      <c r="AK29" s="46">
        <f t="shared" si="15"/>
        <v>0</v>
      </c>
      <c r="AL29" s="46">
        <f t="shared" si="16"/>
        <v>0</v>
      </c>
      <c r="AM29" s="46">
        <f t="shared" si="17"/>
        <v>0</v>
      </c>
      <c r="AN29" s="46">
        <f t="shared" si="18"/>
        <v>0</v>
      </c>
      <c r="AO29" s="46">
        <f t="shared" si="19"/>
        <v>0</v>
      </c>
      <c r="AP29" s="46">
        <f t="shared" si="20"/>
        <v>0</v>
      </c>
      <c r="AQ29" s="46">
        <f t="shared" si="21"/>
        <v>0</v>
      </c>
      <c r="AR29" s="46">
        <f t="shared" si="22"/>
        <v>0</v>
      </c>
      <c r="AS29" s="46">
        <f t="shared" si="23"/>
        <v>0</v>
      </c>
      <c r="AT29" s="46">
        <f t="shared" si="24"/>
        <v>0</v>
      </c>
      <c r="AU29" s="46">
        <f t="shared" si="25"/>
        <v>0</v>
      </c>
    </row>
    <row r="30" spans="1:49" x14ac:dyDescent="0.2">
      <c r="A30" s="35"/>
      <c r="D30" s="72"/>
      <c r="E30" s="247"/>
      <c r="F30" s="27">
        <v>1</v>
      </c>
      <c r="G30" s="165"/>
      <c r="H30" s="248">
        <f t="shared" si="8"/>
        <v>0</v>
      </c>
      <c r="I30" s="248">
        <f t="shared" si="9"/>
        <v>0</v>
      </c>
      <c r="J30" s="249">
        <f t="shared" si="10"/>
        <v>0</v>
      </c>
      <c r="K30" s="249">
        <f t="shared" si="11"/>
        <v>0</v>
      </c>
      <c r="L30" s="249">
        <f t="shared" si="12"/>
        <v>0</v>
      </c>
      <c r="M30" s="250">
        <f t="shared" si="13"/>
        <v>0</v>
      </c>
      <c r="N30" s="251"/>
      <c r="O30" s="123">
        <f t="shared" si="26"/>
        <v>0</v>
      </c>
      <c r="P30" s="123"/>
      <c r="Q30" s="123"/>
      <c r="R30" s="123"/>
      <c r="S30" s="123"/>
      <c r="T30" s="46"/>
      <c r="U30" s="46"/>
      <c r="V30" s="46"/>
      <c r="W30" s="46"/>
      <c r="X30" s="46"/>
      <c r="Y30" s="46"/>
      <c r="Z30" s="46"/>
      <c r="AA30" s="46"/>
      <c r="AH30" s="47">
        <f t="shared" si="7"/>
        <v>0</v>
      </c>
      <c r="AI30" s="46" cm="1">
        <f t="array" ref="AI30">SUM(O30:O30*$F30)</f>
        <v>0</v>
      </c>
      <c r="AJ30" s="46">
        <f t="shared" si="14"/>
        <v>0</v>
      </c>
      <c r="AK30" s="46">
        <f t="shared" si="15"/>
        <v>0</v>
      </c>
      <c r="AL30" s="46">
        <f t="shared" si="16"/>
        <v>0</v>
      </c>
      <c r="AM30" s="46">
        <f t="shared" si="17"/>
        <v>0</v>
      </c>
      <c r="AN30" s="46">
        <f t="shared" si="18"/>
        <v>0</v>
      </c>
      <c r="AO30" s="46">
        <f t="shared" si="19"/>
        <v>0</v>
      </c>
      <c r="AP30" s="46">
        <f t="shared" si="20"/>
        <v>0</v>
      </c>
      <c r="AQ30" s="46">
        <f t="shared" si="21"/>
        <v>0</v>
      </c>
      <c r="AR30" s="46">
        <f t="shared" si="22"/>
        <v>0</v>
      </c>
      <c r="AS30" s="46">
        <f t="shared" si="23"/>
        <v>0</v>
      </c>
      <c r="AT30" s="46">
        <f t="shared" si="24"/>
        <v>0</v>
      </c>
      <c r="AU30" s="46">
        <f t="shared" si="25"/>
        <v>0</v>
      </c>
    </row>
    <row r="31" spans="1:49" x14ac:dyDescent="0.2">
      <c r="A31" s="35"/>
      <c r="D31" s="72"/>
      <c r="E31" s="247"/>
      <c r="F31" s="27">
        <v>1</v>
      </c>
      <c r="G31" s="165"/>
      <c r="H31" s="248">
        <f t="shared" si="8"/>
        <v>0</v>
      </c>
      <c r="I31" s="248">
        <f t="shared" si="9"/>
        <v>0</v>
      </c>
      <c r="J31" s="249">
        <f t="shared" si="10"/>
        <v>0</v>
      </c>
      <c r="K31" s="249">
        <f t="shared" si="11"/>
        <v>0</v>
      </c>
      <c r="L31" s="249">
        <f t="shared" si="12"/>
        <v>0</v>
      </c>
      <c r="M31" s="250">
        <f t="shared" ref="M31:M42" si="27">SUM(F31*L31)</f>
        <v>0</v>
      </c>
      <c r="N31" s="251"/>
      <c r="O31" s="123">
        <f t="shared" si="26"/>
        <v>0</v>
      </c>
      <c r="P31" s="123"/>
      <c r="Q31" s="123"/>
      <c r="R31" s="123"/>
      <c r="S31" s="123"/>
      <c r="T31" s="46"/>
      <c r="U31" s="46"/>
      <c r="V31" s="46"/>
      <c r="W31" s="46"/>
      <c r="X31" s="46"/>
      <c r="Y31" s="46"/>
      <c r="Z31" s="46"/>
      <c r="AA31" s="46"/>
      <c r="AH31" s="47">
        <f t="shared" si="7"/>
        <v>0</v>
      </c>
      <c r="AI31" s="46" cm="1">
        <f t="array" ref="AI31">SUM(O31:O31*$F31)</f>
        <v>0</v>
      </c>
      <c r="AJ31" s="46">
        <f t="shared" si="14"/>
        <v>0</v>
      </c>
      <c r="AK31" s="46">
        <f t="shared" si="15"/>
        <v>0</v>
      </c>
      <c r="AL31" s="46">
        <f t="shared" si="16"/>
        <v>0</v>
      </c>
      <c r="AM31" s="46">
        <f t="shared" si="17"/>
        <v>0</v>
      </c>
      <c r="AN31" s="46">
        <f t="shared" si="18"/>
        <v>0</v>
      </c>
      <c r="AO31" s="46">
        <f t="shared" si="19"/>
        <v>0</v>
      </c>
      <c r="AP31" s="46">
        <f t="shared" si="20"/>
        <v>0</v>
      </c>
      <c r="AQ31" s="46">
        <f t="shared" si="21"/>
        <v>0</v>
      </c>
      <c r="AR31" s="46">
        <f t="shared" si="22"/>
        <v>0</v>
      </c>
      <c r="AS31" s="46">
        <f t="shared" si="23"/>
        <v>0</v>
      </c>
      <c r="AT31" s="46">
        <f t="shared" si="24"/>
        <v>0</v>
      </c>
      <c r="AU31" s="46">
        <f t="shared" si="25"/>
        <v>0</v>
      </c>
    </row>
    <row r="32" spans="1:49" x14ac:dyDescent="0.2">
      <c r="A32" s="35"/>
      <c r="D32" s="72"/>
      <c r="E32" s="247"/>
      <c r="F32" s="27">
        <v>1</v>
      </c>
      <c r="G32" s="165"/>
      <c r="H32" s="248">
        <f t="shared" si="8"/>
        <v>0</v>
      </c>
      <c r="I32" s="248">
        <f t="shared" si="9"/>
        <v>0</v>
      </c>
      <c r="J32" s="249">
        <f t="shared" si="10"/>
        <v>0</v>
      </c>
      <c r="K32" s="249">
        <f t="shared" si="11"/>
        <v>0</v>
      </c>
      <c r="L32" s="249">
        <f t="shared" si="12"/>
        <v>0</v>
      </c>
      <c r="M32" s="250">
        <f t="shared" si="27"/>
        <v>0</v>
      </c>
      <c r="N32" s="251"/>
      <c r="O32" s="123">
        <f t="shared" si="26"/>
        <v>0</v>
      </c>
      <c r="P32" s="123"/>
      <c r="Q32" s="123"/>
      <c r="R32" s="123"/>
      <c r="S32" s="123"/>
      <c r="T32" s="46"/>
      <c r="U32" s="46"/>
      <c r="V32" s="46"/>
      <c r="W32" s="46"/>
      <c r="X32" s="46"/>
      <c r="Y32" s="46"/>
      <c r="Z32" s="46"/>
      <c r="AA32" s="46"/>
      <c r="AH32" s="47">
        <f t="shared" si="7"/>
        <v>0</v>
      </c>
      <c r="AI32" s="46" cm="1">
        <f t="array" ref="AI32">SUM(O32:O32*$F32)</f>
        <v>0</v>
      </c>
      <c r="AJ32" s="46">
        <f t="shared" si="14"/>
        <v>0</v>
      </c>
      <c r="AK32" s="46">
        <f t="shared" si="15"/>
        <v>0</v>
      </c>
      <c r="AL32" s="46">
        <f t="shared" si="16"/>
        <v>0</v>
      </c>
      <c r="AM32" s="46">
        <f t="shared" si="17"/>
        <v>0</v>
      </c>
      <c r="AN32" s="46">
        <f t="shared" si="18"/>
        <v>0</v>
      </c>
      <c r="AO32" s="46">
        <f t="shared" si="19"/>
        <v>0</v>
      </c>
      <c r="AP32" s="46">
        <f t="shared" si="20"/>
        <v>0</v>
      </c>
      <c r="AQ32" s="46">
        <f t="shared" si="21"/>
        <v>0</v>
      </c>
      <c r="AR32" s="46">
        <f t="shared" si="22"/>
        <v>0</v>
      </c>
      <c r="AS32" s="46">
        <f t="shared" si="23"/>
        <v>0</v>
      </c>
      <c r="AT32" s="46">
        <f t="shared" si="24"/>
        <v>0</v>
      </c>
      <c r="AU32" s="46">
        <f t="shared" si="25"/>
        <v>0</v>
      </c>
    </row>
    <row r="33" spans="1:47" x14ac:dyDescent="0.2">
      <c r="A33" s="35"/>
      <c r="D33" s="72"/>
      <c r="E33" s="247"/>
      <c r="F33" s="27">
        <v>1</v>
      </c>
      <c r="G33" s="165"/>
      <c r="H33" s="248">
        <f t="shared" si="8"/>
        <v>0</v>
      </c>
      <c r="I33" s="248">
        <f t="shared" si="9"/>
        <v>0</v>
      </c>
      <c r="J33" s="249">
        <f t="shared" si="10"/>
        <v>0</v>
      </c>
      <c r="K33" s="249">
        <f t="shared" si="11"/>
        <v>0</v>
      </c>
      <c r="L33" s="249">
        <f t="shared" si="12"/>
        <v>0</v>
      </c>
      <c r="M33" s="250">
        <f t="shared" si="27"/>
        <v>0</v>
      </c>
      <c r="N33" s="251"/>
      <c r="O33" s="123">
        <f t="shared" si="26"/>
        <v>0</v>
      </c>
      <c r="P33" s="123"/>
      <c r="Q33" s="123"/>
      <c r="R33" s="123"/>
      <c r="S33" s="123"/>
      <c r="T33" s="46"/>
      <c r="U33" s="46"/>
      <c r="V33" s="46"/>
      <c r="W33" s="46"/>
      <c r="X33" s="46"/>
      <c r="Y33" s="46"/>
      <c r="Z33" s="46"/>
      <c r="AA33" s="46"/>
      <c r="AH33" s="47">
        <f t="shared" si="7"/>
        <v>0</v>
      </c>
      <c r="AI33" s="46" cm="1">
        <f t="array" ref="AI33">SUM(O33:O33*$F33)</f>
        <v>0</v>
      </c>
      <c r="AJ33" s="46">
        <f t="shared" si="14"/>
        <v>0</v>
      </c>
      <c r="AK33" s="46">
        <f t="shared" si="15"/>
        <v>0</v>
      </c>
      <c r="AL33" s="46">
        <f t="shared" si="16"/>
        <v>0</v>
      </c>
      <c r="AM33" s="46">
        <f t="shared" si="17"/>
        <v>0</v>
      </c>
      <c r="AN33" s="46">
        <f t="shared" si="18"/>
        <v>0</v>
      </c>
      <c r="AO33" s="46">
        <f t="shared" si="19"/>
        <v>0</v>
      </c>
      <c r="AP33" s="46">
        <f t="shared" si="20"/>
        <v>0</v>
      </c>
      <c r="AQ33" s="46">
        <f t="shared" si="21"/>
        <v>0</v>
      </c>
      <c r="AR33" s="46">
        <f t="shared" si="22"/>
        <v>0</v>
      </c>
      <c r="AS33" s="46">
        <f t="shared" si="23"/>
        <v>0</v>
      </c>
      <c r="AT33" s="46">
        <f t="shared" si="24"/>
        <v>0</v>
      </c>
      <c r="AU33" s="46">
        <f t="shared" si="25"/>
        <v>0</v>
      </c>
    </row>
    <row r="34" spans="1:47" x14ac:dyDescent="0.2">
      <c r="A34" s="35"/>
      <c r="D34" s="72"/>
      <c r="E34" s="247"/>
      <c r="F34" s="27">
        <v>1</v>
      </c>
      <c r="G34" s="165"/>
      <c r="H34" s="248">
        <f t="shared" si="8"/>
        <v>0</v>
      </c>
      <c r="I34" s="248">
        <f t="shared" si="9"/>
        <v>0</v>
      </c>
      <c r="J34" s="249">
        <f t="shared" si="10"/>
        <v>0</v>
      </c>
      <c r="K34" s="249">
        <f t="shared" si="11"/>
        <v>0</v>
      </c>
      <c r="L34" s="249">
        <f t="shared" si="12"/>
        <v>0</v>
      </c>
      <c r="M34" s="250">
        <f t="shared" si="27"/>
        <v>0</v>
      </c>
      <c r="N34" s="251"/>
      <c r="O34" s="123">
        <f t="shared" si="26"/>
        <v>0</v>
      </c>
      <c r="P34" s="123"/>
      <c r="Q34" s="123"/>
      <c r="R34" s="123"/>
      <c r="S34" s="123"/>
      <c r="T34" s="46"/>
      <c r="U34" s="46"/>
      <c r="V34" s="46"/>
      <c r="W34" s="46"/>
      <c r="X34" s="46"/>
      <c r="Y34" s="46"/>
      <c r="Z34" s="46"/>
      <c r="AA34" s="46"/>
      <c r="AH34" s="47"/>
      <c r="AI34" s="46" cm="1">
        <f t="array" ref="AI34">SUM(O34:O34*$F34)</f>
        <v>0</v>
      </c>
      <c r="AJ34" s="46">
        <f t="shared" si="14"/>
        <v>0</v>
      </c>
      <c r="AK34" s="46">
        <f t="shared" si="15"/>
        <v>0</v>
      </c>
      <c r="AL34" s="46">
        <f t="shared" si="16"/>
        <v>0</v>
      </c>
      <c r="AM34" s="46">
        <f t="shared" si="17"/>
        <v>0</v>
      </c>
      <c r="AN34" s="46">
        <f t="shared" si="18"/>
        <v>0</v>
      </c>
      <c r="AO34" s="46">
        <f t="shared" si="19"/>
        <v>0</v>
      </c>
      <c r="AP34" s="46">
        <f t="shared" si="20"/>
        <v>0</v>
      </c>
      <c r="AQ34" s="46">
        <f t="shared" si="21"/>
        <v>0</v>
      </c>
      <c r="AR34" s="46">
        <f t="shared" si="22"/>
        <v>0</v>
      </c>
      <c r="AS34" s="46">
        <f t="shared" si="23"/>
        <v>0</v>
      </c>
      <c r="AT34" s="46">
        <f t="shared" si="24"/>
        <v>0</v>
      </c>
      <c r="AU34" s="46">
        <f t="shared" si="25"/>
        <v>0</v>
      </c>
    </row>
    <row r="35" spans="1:47" x14ac:dyDescent="0.2">
      <c r="A35" s="35"/>
      <c r="D35" s="72"/>
      <c r="E35" s="247"/>
      <c r="F35" s="27">
        <v>1</v>
      </c>
      <c r="G35" s="165"/>
      <c r="H35" s="248">
        <f t="shared" si="8"/>
        <v>0</v>
      </c>
      <c r="I35" s="248">
        <f t="shared" si="9"/>
        <v>0</v>
      </c>
      <c r="J35" s="249">
        <f t="shared" si="10"/>
        <v>0</v>
      </c>
      <c r="K35" s="249">
        <f t="shared" si="11"/>
        <v>0</v>
      </c>
      <c r="L35" s="249">
        <f t="shared" si="12"/>
        <v>0</v>
      </c>
      <c r="M35" s="250">
        <f t="shared" si="27"/>
        <v>0</v>
      </c>
      <c r="N35" s="251"/>
      <c r="O35" s="123">
        <f t="shared" si="26"/>
        <v>0</v>
      </c>
      <c r="P35" s="123"/>
      <c r="Q35" s="123"/>
      <c r="R35" s="123"/>
      <c r="S35" s="123"/>
      <c r="T35" s="46"/>
      <c r="U35" s="46"/>
      <c r="V35" s="46"/>
      <c r="W35" s="46"/>
      <c r="X35" s="46"/>
      <c r="Y35" s="46"/>
      <c r="Z35" s="46"/>
      <c r="AA35" s="46"/>
      <c r="AH35" s="47"/>
      <c r="AI35" s="46" cm="1">
        <f t="array" ref="AI35">SUM(O35:O35*$F35)</f>
        <v>0</v>
      </c>
      <c r="AJ35" s="46">
        <f t="shared" si="14"/>
        <v>0</v>
      </c>
      <c r="AK35" s="46">
        <f t="shared" si="15"/>
        <v>0</v>
      </c>
      <c r="AL35" s="46">
        <f t="shared" si="16"/>
        <v>0</v>
      </c>
      <c r="AM35" s="46">
        <f t="shared" si="17"/>
        <v>0</v>
      </c>
      <c r="AN35" s="46">
        <f t="shared" si="18"/>
        <v>0</v>
      </c>
      <c r="AO35" s="46">
        <f t="shared" si="19"/>
        <v>0</v>
      </c>
      <c r="AP35" s="46">
        <f t="shared" si="20"/>
        <v>0</v>
      </c>
      <c r="AQ35" s="46">
        <f t="shared" si="21"/>
        <v>0</v>
      </c>
      <c r="AR35" s="46">
        <f t="shared" si="22"/>
        <v>0</v>
      </c>
      <c r="AS35" s="46">
        <f t="shared" si="23"/>
        <v>0</v>
      </c>
      <c r="AT35" s="46">
        <f t="shared" si="24"/>
        <v>0</v>
      </c>
      <c r="AU35" s="46">
        <f t="shared" si="25"/>
        <v>0</v>
      </c>
    </row>
    <row r="36" spans="1:47" x14ac:dyDescent="0.2">
      <c r="A36" s="35"/>
      <c r="D36" s="72"/>
      <c r="E36" s="247"/>
      <c r="F36" s="27">
        <v>1</v>
      </c>
      <c r="G36" s="165"/>
      <c r="H36" s="248">
        <f t="shared" si="8"/>
        <v>0</v>
      </c>
      <c r="I36" s="248">
        <f t="shared" si="9"/>
        <v>0</v>
      </c>
      <c r="J36" s="249">
        <f t="shared" si="10"/>
        <v>0</v>
      </c>
      <c r="K36" s="249">
        <f t="shared" si="11"/>
        <v>0</v>
      </c>
      <c r="L36" s="249">
        <f t="shared" si="12"/>
        <v>0</v>
      </c>
      <c r="M36" s="250">
        <f t="shared" si="27"/>
        <v>0</v>
      </c>
      <c r="N36" s="251"/>
      <c r="O36" s="123">
        <f t="shared" si="26"/>
        <v>0</v>
      </c>
      <c r="P36" s="123"/>
      <c r="Q36" s="123"/>
      <c r="R36" s="123"/>
      <c r="S36" s="123"/>
      <c r="T36" s="46"/>
      <c r="U36" s="46"/>
      <c r="V36" s="46"/>
      <c r="W36" s="46"/>
      <c r="X36" s="46"/>
      <c r="Y36" s="46"/>
      <c r="Z36" s="46"/>
      <c r="AA36" s="46"/>
      <c r="AH36" s="47"/>
      <c r="AI36" s="46" cm="1">
        <f t="array" ref="AI36">SUM(O36:O36*$F36)</f>
        <v>0</v>
      </c>
      <c r="AJ36" s="46">
        <f t="shared" si="14"/>
        <v>0</v>
      </c>
      <c r="AK36" s="46">
        <f t="shared" si="15"/>
        <v>0</v>
      </c>
      <c r="AL36" s="46">
        <f t="shared" si="16"/>
        <v>0</v>
      </c>
      <c r="AM36" s="46">
        <f t="shared" si="17"/>
        <v>0</v>
      </c>
      <c r="AN36" s="46">
        <f t="shared" si="18"/>
        <v>0</v>
      </c>
      <c r="AO36" s="46">
        <f t="shared" si="19"/>
        <v>0</v>
      </c>
      <c r="AP36" s="46">
        <f t="shared" si="20"/>
        <v>0</v>
      </c>
      <c r="AQ36" s="46">
        <f t="shared" si="21"/>
        <v>0</v>
      </c>
      <c r="AR36" s="46">
        <f t="shared" si="22"/>
        <v>0</v>
      </c>
      <c r="AS36" s="46">
        <f t="shared" si="23"/>
        <v>0</v>
      </c>
      <c r="AT36" s="46">
        <f t="shared" si="24"/>
        <v>0</v>
      </c>
      <c r="AU36" s="46">
        <f t="shared" si="25"/>
        <v>0</v>
      </c>
    </row>
    <row r="37" spans="1:47" x14ac:dyDescent="0.2">
      <c r="A37" s="35"/>
      <c r="D37" s="72"/>
      <c r="E37" s="247"/>
      <c r="F37" s="27">
        <v>1</v>
      </c>
      <c r="G37" s="165"/>
      <c r="H37" s="248">
        <f t="shared" si="8"/>
        <v>0</v>
      </c>
      <c r="I37" s="248">
        <f t="shared" si="9"/>
        <v>0</v>
      </c>
      <c r="J37" s="249">
        <f t="shared" si="10"/>
        <v>0</v>
      </c>
      <c r="K37" s="249">
        <f t="shared" si="11"/>
        <v>0</v>
      </c>
      <c r="L37" s="249">
        <f t="shared" si="12"/>
        <v>0</v>
      </c>
      <c r="M37" s="250">
        <f t="shared" si="27"/>
        <v>0</v>
      </c>
      <c r="N37" s="251"/>
      <c r="O37" s="123">
        <f t="shared" si="26"/>
        <v>0</v>
      </c>
      <c r="P37" s="123"/>
      <c r="Q37" s="123"/>
      <c r="R37" s="123"/>
      <c r="S37" s="123"/>
      <c r="T37" s="46"/>
      <c r="U37" s="46"/>
      <c r="V37" s="46"/>
      <c r="W37" s="46"/>
      <c r="X37" s="46"/>
      <c r="Y37" s="46"/>
      <c r="Z37" s="46"/>
      <c r="AA37" s="46"/>
      <c r="AH37" s="47"/>
      <c r="AI37" s="46" cm="1">
        <f t="array" ref="AI37">SUM(O37:O37*$F37)</f>
        <v>0</v>
      </c>
      <c r="AJ37" s="46">
        <f t="shared" si="14"/>
        <v>0</v>
      </c>
      <c r="AK37" s="46">
        <f t="shared" si="15"/>
        <v>0</v>
      </c>
      <c r="AL37" s="46">
        <f t="shared" si="16"/>
        <v>0</v>
      </c>
      <c r="AM37" s="46">
        <f t="shared" si="17"/>
        <v>0</v>
      </c>
      <c r="AN37" s="46">
        <f t="shared" si="18"/>
        <v>0</v>
      </c>
      <c r="AO37" s="46">
        <f t="shared" si="19"/>
        <v>0</v>
      </c>
      <c r="AP37" s="46">
        <f t="shared" si="20"/>
        <v>0</v>
      </c>
      <c r="AQ37" s="46">
        <f t="shared" si="21"/>
        <v>0</v>
      </c>
      <c r="AR37" s="46">
        <f t="shared" si="22"/>
        <v>0</v>
      </c>
      <c r="AS37" s="46">
        <f t="shared" si="23"/>
        <v>0</v>
      </c>
      <c r="AT37" s="46">
        <f t="shared" si="24"/>
        <v>0</v>
      </c>
      <c r="AU37" s="46">
        <f t="shared" si="25"/>
        <v>0</v>
      </c>
    </row>
    <row r="38" spans="1:47" x14ac:dyDescent="0.2">
      <c r="A38" s="35"/>
      <c r="D38" s="72"/>
      <c r="E38" s="247"/>
      <c r="F38" s="27">
        <v>1</v>
      </c>
      <c r="G38" s="165"/>
      <c r="H38" s="248">
        <f t="shared" si="8"/>
        <v>0</v>
      </c>
      <c r="I38" s="248">
        <f t="shared" si="9"/>
        <v>0</v>
      </c>
      <c r="J38" s="249">
        <f t="shared" si="10"/>
        <v>0</v>
      </c>
      <c r="K38" s="249">
        <f t="shared" si="11"/>
        <v>0</v>
      </c>
      <c r="L38" s="249">
        <f t="shared" si="12"/>
        <v>0</v>
      </c>
      <c r="M38" s="250">
        <f t="shared" si="27"/>
        <v>0</v>
      </c>
      <c r="N38" s="251"/>
      <c r="O38" s="123">
        <f t="shared" si="26"/>
        <v>0</v>
      </c>
      <c r="P38" s="123"/>
      <c r="Q38" s="123"/>
      <c r="R38" s="123"/>
      <c r="S38" s="123"/>
      <c r="T38" s="46"/>
      <c r="U38" s="46"/>
      <c r="V38" s="46"/>
      <c r="W38" s="46"/>
      <c r="X38" s="46"/>
      <c r="Y38" s="46"/>
      <c r="Z38" s="46"/>
      <c r="AA38" s="46"/>
      <c r="AH38" s="47"/>
      <c r="AI38" s="46" cm="1">
        <f t="array" ref="AI38">SUM(O38:O38*$F38)</f>
        <v>0</v>
      </c>
      <c r="AJ38" s="46">
        <f t="shared" si="14"/>
        <v>0</v>
      </c>
      <c r="AK38" s="46">
        <f t="shared" si="15"/>
        <v>0</v>
      </c>
      <c r="AL38" s="46">
        <f t="shared" si="16"/>
        <v>0</v>
      </c>
      <c r="AM38" s="46">
        <f t="shared" si="17"/>
        <v>0</v>
      </c>
      <c r="AN38" s="46">
        <f t="shared" si="18"/>
        <v>0</v>
      </c>
      <c r="AO38" s="46">
        <f t="shared" si="19"/>
        <v>0</v>
      </c>
      <c r="AP38" s="46">
        <f t="shared" si="20"/>
        <v>0</v>
      </c>
      <c r="AQ38" s="46">
        <f t="shared" si="21"/>
        <v>0</v>
      </c>
      <c r="AR38" s="46">
        <f t="shared" si="22"/>
        <v>0</v>
      </c>
      <c r="AS38" s="46">
        <f t="shared" si="23"/>
        <v>0</v>
      </c>
      <c r="AT38" s="46">
        <f t="shared" si="24"/>
        <v>0</v>
      </c>
      <c r="AU38" s="46">
        <f t="shared" si="25"/>
        <v>0</v>
      </c>
    </row>
    <row r="39" spans="1:47" x14ac:dyDescent="0.2">
      <c r="A39" s="35"/>
      <c r="D39" s="72"/>
      <c r="E39" s="247"/>
      <c r="F39" s="27">
        <v>1</v>
      </c>
      <c r="G39" s="165"/>
      <c r="H39" s="248">
        <f t="shared" si="8"/>
        <v>0</v>
      </c>
      <c r="I39" s="248">
        <f t="shared" si="9"/>
        <v>0</v>
      </c>
      <c r="J39" s="249">
        <f t="shared" si="10"/>
        <v>0</v>
      </c>
      <c r="K39" s="249">
        <f t="shared" si="11"/>
        <v>0</v>
      </c>
      <c r="L39" s="249">
        <f t="shared" si="12"/>
        <v>0</v>
      </c>
      <c r="M39" s="250">
        <f t="shared" si="27"/>
        <v>0</v>
      </c>
      <c r="N39" s="251"/>
      <c r="O39" s="123">
        <f t="shared" si="26"/>
        <v>0</v>
      </c>
      <c r="P39" s="123"/>
      <c r="Q39" s="123"/>
      <c r="R39" s="123"/>
      <c r="S39" s="123"/>
      <c r="T39" s="46"/>
      <c r="U39" s="46"/>
      <c r="V39" s="46"/>
      <c r="W39" s="46"/>
      <c r="X39" s="46"/>
      <c r="Y39" s="46"/>
      <c r="Z39" s="46"/>
      <c r="AA39" s="46"/>
      <c r="AH39" s="47"/>
      <c r="AI39" s="46" cm="1">
        <f t="array" ref="AI39">SUM(O39:O39*$F39)</f>
        <v>0</v>
      </c>
      <c r="AJ39" s="46">
        <f t="shared" si="14"/>
        <v>0</v>
      </c>
      <c r="AK39" s="46">
        <f t="shared" si="15"/>
        <v>0</v>
      </c>
      <c r="AL39" s="46">
        <f t="shared" si="16"/>
        <v>0</v>
      </c>
      <c r="AM39" s="46">
        <f t="shared" si="17"/>
        <v>0</v>
      </c>
      <c r="AN39" s="46">
        <f t="shared" si="18"/>
        <v>0</v>
      </c>
      <c r="AO39" s="46">
        <f t="shared" si="19"/>
        <v>0</v>
      </c>
      <c r="AP39" s="46">
        <f t="shared" si="20"/>
        <v>0</v>
      </c>
      <c r="AQ39" s="46">
        <f t="shared" si="21"/>
        <v>0</v>
      </c>
      <c r="AR39" s="46">
        <f t="shared" si="22"/>
        <v>0</v>
      </c>
      <c r="AS39" s="46">
        <f t="shared" si="23"/>
        <v>0</v>
      </c>
      <c r="AT39" s="46">
        <f t="shared" si="24"/>
        <v>0</v>
      </c>
      <c r="AU39" s="46">
        <f t="shared" si="25"/>
        <v>0</v>
      </c>
    </row>
    <row r="40" spans="1:47" x14ac:dyDescent="0.2">
      <c r="A40" s="35"/>
      <c r="D40" s="72"/>
      <c r="E40" s="247"/>
      <c r="F40" s="27">
        <v>1</v>
      </c>
      <c r="G40" s="165"/>
      <c r="H40" s="248">
        <f t="shared" si="8"/>
        <v>0</v>
      </c>
      <c r="I40" s="248">
        <f t="shared" si="9"/>
        <v>0</v>
      </c>
      <c r="J40" s="249">
        <f t="shared" si="10"/>
        <v>0</v>
      </c>
      <c r="K40" s="249">
        <f t="shared" si="11"/>
        <v>0</v>
      </c>
      <c r="L40" s="249">
        <f t="shared" si="12"/>
        <v>0</v>
      </c>
      <c r="M40" s="250">
        <f t="shared" si="27"/>
        <v>0</v>
      </c>
      <c r="N40" s="251"/>
      <c r="O40" s="123">
        <f t="shared" si="26"/>
        <v>0</v>
      </c>
      <c r="P40" s="123"/>
      <c r="Q40" s="123"/>
      <c r="R40" s="123"/>
      <c r="S40" s="123"/>
      <c r="T40" s="46"/>
      <c r="U40" s="46"/>
      <c r="V40" s="46"/>
      <c r="W40" s="46"/>
      <c r="X40" s="46"/>
      <c r="Y40" s="46"/>
      <c r="Z40" s="46"/>
      <c r="AA40" s="46"/>
      <c r="AH40" s="47"/>
      <c r="AI40" s="46" cm="1">
        <f t="array" ref="AI40">SUM(O40:O40*$F40)</f>
        <v>0</v>
      </c>
      <c r="AJ40" s="46">
        <f t="shared" si="14"/>
        <v>0</v>
      </c>
      <c r="AK40" s="46">
        <f t="shared" si="15"/>
        <v>0</v>
      </c>
      <c r="AL40" s="46">
        <f t="shared" si="16"/>
        <v>0</v>
      </c>
      <c r="AM40" s="46">
        <f t="shared" si="17"/>
        <v>0</v>
      </c>
      <c r="AN40" s="46">
        <f t="shared" si="18"/>
        <v>0</v>
      </c>
      <c r="AO40" s="46">
        <f t="shared" si="19"/>
        <v>0</v>
      </c>
      <c r="AP40" s="46">
        <f t="shared" si="20"/>
        <v>0</v>
      </c>
      <c r="AQ40" s="46">
        <f t="shared" si="21"/>
        <v>0</v>
      </c>
      <c r="AR40" s="46">
        <f t="shared" si="22"/>
        <v>0</v>
      </c>
      <c r="AS40" s="46">
        <f t="shared" si="23"/>
        <v>0</v>
      </c>
      <c r="AT40" s="46">
        <f t="shared" si="24"/>
        <v>0</v>
      </c>
      <c r="AU40" s="46">
        <f t="shared" si="25"/>
        <v>0</v>
      </c>
    </row>
    <row r="41" spans="1:47" x14ac:dyDescent="0.2">
      <c r="A41" s="35"/>
      <c r="D41" s="72"/>
      <c r="E41" s="247"/>
      <c r="F41" s="27">
        <v>1</v>
      </c>
      <c r="G41" s="165"/>
      <c r="H41" s="248">
        <f t="shared" si="8"/>
        <v>0</v>
      </c>
      <c r="I41" s="248">
        <f t="shared" si="9"/>
        <v>0</v>
      </c>
      <c r="J41" s="249">
        <f t="shared" si="10"/>
        <v>0</v>
      </c>
      <c r="K41" s="249">
        <f t="shared" si="11"/>
        <v>0</v>
      </c>
      <c r="L41" s="249">
        <f t="shared" si="12"/>
        <v>0</v>
      </c>
      <c r="M41" s="250">
        <f t="shared" si="27"/>
        <v>0</v>
      </c>
      <c r="N41" s="251"/>
      <c r="O41" s="123">
        <f t="shared" si="26"/>
        <v>0</v>
      </c>
      <c r="P41" s="123"/>
      <c r="Q41" s="123"/>
      <c r="R41" s="123"/>
      <c r="S41" s="123"/>
      <c r="T41" s="46"/>
      <c r="U41" s="46"/>
      <c r="V41" s="46"/>
      <c r="W41" s="46"/>
      <c r="X41" s="46"/>
      <c r="Y41" s="46"/>
      <c r="Z41" s="46"/>
      <c r="AA41" s="46"/>
      <c r="AH41" s="47">
        <f t="shared" ref="AH41:AH49" si="28">C41</f>
        <v>0</v>
      </c>
      <c r="AI41" s="46" cm="1">
        <f t="array" ref="AI41">SUM(O41:O41*$F41)</f>
        <v>0</v>
      </c>
      <c r="AJ41" s="46">
        <f t="shared" si="14"/>
        <v>0</v>
      </c>
      <c r="AK41" s="46">
        <f t="shared" si="15"/>
        <v>0</v>
      </c>
      <c r="AL41" s="46">
        <f t="shared" si="16"/>
        <v>0</v>
      </c>
      <c r="AM41" s="46">
        <f t="shared" si="17"/>
        <v>0</v>
      </c>
      <c r="AN41" s="46">
        <f t="shared" si="18"/>
        <v>0</v>
      </c>
      <c r="AO41" s="46">
        <f t="shared" si="19"/>
        <v>0</v>
      </c>
      <c r="AP41" s="46">
        <f t="shared" si="20"/>
        <v>0</v>
      </c>
      <c r="AQ41" s="46">
        <f t="shared" si="21"/>
        <v>0</v>
      </c>
      <c r="AR41" s="46">
        <f t="shared" si="22"/>
        <v>0</v>
      </c>
      <c r="AS41" s="46">
        <f t="shared" si="23"/>
        <v>0</v>
      </c>
      <c r="AT41" s="46">
        <f t="shared" si="24"/>
        <v>0</v>
      </c>
      <c r="AU41" s="46">
        <f t="shared" si="25"/>
        <v>0</v>
      </c>
    </row>
    <row r="42" spans="1:47" x14ac:dyDescent="0.2">
      <c r="A42" s="35"/>
      <c r="D42" s="72"/>
      <c r="E42" s="247"/>
      <c r="F42" s="27">
        <v>1</v>
      </c>
      <c r="G42" s="165"/>
      <c r="H42" s="248">
        <f t="shared" si="8"/>
        <v>0</v>
      </c>
      <c r="I42" s="248">
        <f t="shared" si="9"/>
        <v>0</v>
      </c>
      <c r="J42" s="249">
        <f t="shared" si="10"/>
        <v>0</v>
      </c>
      <c r="K42" s="249">
        <f t="shared" si="11"/>
        <v>0</v>
      </c>
      <c r="L42" s="249">
        <f t="shared" si="12"/>
        <v>0</v>
      </c>
      <c r="M42" s="250">
        <f t="shared" si="27"/>
        <v>0</v>
      </c>
      <c r="N42" s="251"/>
      <c r="O42" s="123">
        <f t="shared" si="26"/>
        <v>0</v>
      </c>
      <c r="P42" s="123"/>
      <c r="Q42" s="123"/>
      <c r="R42" s="123"/>
      <c r="S42" s="123"/>
      <c r="T42" s="46"/>
      <c r="U42" s="46"/>
      <c r="V42" s="46"/>
      <c r="W42" s="46"/>
      <c r="X42" s="46"/>
      <c r="Y42" s="46"/>
      <c r="Z42" s="46"/>
      <c r="AA42" s="46"/>
      <c r="AH42" s="47">
        <f t="shared" si="28"/>
        <v>0</v>
      </c>
      <c r="AI42" s="46" cm="1">
        <f t="array" ref="AI42">SUM(O42:O42*$F42)</f>
        <v>0</v>
      </c>
      <c r="AJ42" s="46">
        <f t="shared" si="14"/>
        <v>0</v>
      </c>
      <c r="AK42" s="46">
        <f t="shared" si="15"/>
        <v>0</v>
      </c>
      <c r="AL42" s="46">
        <f t="shared" si="16"/>
        <v>0</v>
      </c>
      <c r="AM42" s="46">
        <f t="shared" si="17"/>
        <v>0</v>
      </c>
      <c r="AN42" s="46">
        <f t="shared" si="18"/>
        <v>0</v>
      </c>
      <c r="AO42" s="46">
        <f t="shared" si="19"/>
        <v>0</v>
      </c>
      <c r="AP42" s="46">
        <f t="shared" si="20"/>
        <v>0</v>
      </c>
      <c r="AQ42" s="46">
        <f t="shared" si="21"/>
        <v>0</v>
      </c>
      <c r="AR42" s="46">
        <f t="shared" si="22"/>
        <v>0</v>
      </c>
      <c r="AS42" s="46">
        <f t="shared" si="23"/>
        <v>0</v>
      </c>
      <c r="AT42" s="46">
        <f t="shared" si="24"/>
        <v>0</v>
      </c>
      <c r="AU42" s="46">
        <f t="shared" si="25"/>
        <v>0</v>
      </c>
    </row>
    <row r="43" spans="1:47" x14ac:dyDescent="0.2">
      <c r="A43" s="35"/>
      <c r="D43" s="72"/>
      <c r="E43" s="186"/>
      <c r="F43" s="27">
        <v>1</v>
      </c>
      <c r="H43" s="54">
        <f t="shared" si="8"/>
        <v>0</v>
      </c>
      <c r="I43" s="54">
        <f t="shared" si="9"/>
        <v>0</v>
      </c>
      <c r="J43" s="24">
        <f t="shared" ref="J43:J97" si="29">H43+I43</f>
        <v>0</v>
      </c>
      <c r="K43" s="24">
        <f t="shared" ref="K43:K97" si="30">J43*F43</f>
        <v>0</v>
      </c>
      <c r="L43" s="24">
        <f t="shared" si="12"/>
        <v>0</v>
      </c>
      <c r="M43" s="55">
        <f t="shared" ref="M43:M97" si="31">SUM(F43*L43)</f>
        <v>0</v>
      </c>
      <c r="N43" s="113"/>
      <c r="O43" s="46">
        <f t="shared" ref="O43:O93" si="32">N43*N$9</f>
        <v>0</v>
      </c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H43" s="47">
        <f t="shared" si="28"/>
        <v>0</v>
      </c>
      <c r="AI43" s="46" cm="1">
        <f t="array" ref="AI43">SUM(O43:O43*$F43)</f>
        <v>0</v>
      </c>
      <c r="AJ43" s="46">
        <f t="shared" si="14"/>
        <v>0</v>
      </c>
      <c r="AK43" s="46">
        <f t="shared" si="15"/>
        <v>0</v>
      </c>
      <c r="AL43" s="46">
        <f t="shared" si="16"/>
        <v>0</v>
      </c>
      <c r="AM43" s="46">
        <f t="shared" si="17"/>
        <v>0</v>
      </c>
      <c r="AN43" s="46">
        <f t="shared" si="18"/>
        <v>0</v>
      </c>
      <c r="AO43" s="46">
        <f t="shared" si="19"/>
        <v>0</v>
      </c>
      <c r="AP43" s="46">
        <f t="shared" si="20"/>
        <v>0</v>
      </c>
      <c r="AQ43" s="46">
        <f t="shared" si="21"/>
        <v>0</v>
      </c>
      <c r="AR43" s="46">
        <f t="shared" si="22"/>
        <v>0</v>
      </c>
      <c r="AS43" s="46">
        <f t="shared" si="23"/>
        <v>0</v>
      </c>
      <c r="AT43" s="46">
        <f t="shared" si="24"/>
        <v>0</v>
      </c>
      <c r="AU43" s="46">
        <f t="shared" si="25"/>
        <v>0</v>
      </c>
    </row>
    <row r="44" spans="1:47" ht="13.5" thickBot="1" x14ac:dyDescent="0.25">
      <c r="A44" s="49"/>
      <c r="D44" s="72"/>
      <c r="E44" s="186"/>
      <c r="F44" s="27">
        <v>1</v>
      </c>
      <c r="H44" s="54">
        <f t="shared" si="8"/>
        <v>0</v>
      </c>
      <c r="I44" s="54">
        <f t="shared" si="9"/>
        <v>0</v>
      </c>
      <c r="J44" s="24">
        <f t="shared" si="29"/>
        <v>0</v>
      </c>
      <c r="K44" s="24">
        <f t="shared" si="30"/>
        <v>0</v>
      </c>
      <c r="L44" s="24">
        <f t="shared" si="12"/>
        <v>0</v>
      </c>
      <c r="M44" s="55">
        <f t="shared" si="31"/>
        <v>0</v>
      </c>
      <c r="N44" s="113"/>
      <c r="O44" s="46">
        <f t="shared" si="32"/>
        <v>0</v>
      </c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H44" s="47">
        <f t="shared" si="28"/>
        <v>0</v>
      </c>
      <c r="AI44" s="46" cm="1">
        <f t="array" ref="AI44">SUM(O44:O44*$F44)</f>
        <v>0</v>
      </c>
      <c r="AJ44" s="46">
        <f t="shared" si="14"/>
        <v>0</v>
      </c>
      <c r="AK44" s="46">
        <f t="shared" si="15"/>
        <v>0</v>
      </c>
      <c r="AL44" s="46">
        <f t="shared" si="16"/>
        <v>0</v>
      </c>
      <c r="AM44" s="46">
        <f t="shared" si="17"/>
        <v>0</v>
      </c>
      <c r="AN44" s="46">
        <f t="shared" si="18"/>
        <v>0</v>
      </c>
      <c r="AO44" s="46">
        <f t="shared" si="19"/>
        <v>0</v>
      </c>
      <c r="AP44" s="46">
        <f t="shared" si="20"/>
        <v>0</v>
      </c>
      <c r="AQ44" s="46">
        <f t="shared" si="21"/>
        <v>0</v>
      </c>
      <c r="AR44" s="46">
        <f t="shared" si="22"/>
        <v>0</v>
      </c>
      <c r="AS44" s="46">
        <f t="shared" si="23"/>
        <v>0</v>
      </c>
      <c r="AT44" s="46">
        <f t="shared" si="24"/>
        <v>0</v>
      </c>
      <c r="AU44" s="46">
        <f t="shared" si="25"/>
        <v>0</v>
      </c>
    </row>
    <row r="45" spans="1:47" ht="13.5" thickBot="1" x14ac:dyDescent="0.25">
      <c r="A45" s="49"/>
      <c r="D45" s="72"/>
      <c r="E45" s="186"/>
      <c r="F45" s="27">
        <v>1</v>
      </c>
      <c r="H45" s="54">
        <f t="shared" si="8"/>
        <v>0</v>
      </c>
      <c r="I45" s="54">
        <f t="shared" si="9"/>
        <v>0</v>
      </c>
      <c r="J45" s="24">
        <f t="shared" si="29"/>
        <v>0</v>
      </c>
      <c r="K45" s="24">
        <f t="shared" si="30"/>
        <v>0</v>
      </c>
      <c r="L45" s="24">
        <f t="shared" si="12"/>
        <v>0</v>
      </c>
      <c r="M45" s="55">
        <f t="shared" si="31"/>
        <v>0</v>
      </c>
      <c r="N45" s="113"/>
      <c r="O45" s="46">
        <f t="shared" si="32"/>
        <v>0</v>
      </c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H45" s="47">
        <f t="shared" si="28"/>
        <v>0</v>
      </c>
      <c r="AI45" s="46" cm="1">
        <f t="array" ref="AI45">SUM(O45:O45*$F45)</f>
        <v>0</v>
      </c>
      <c r="AJ45" s="46">
        <f t="shared" si="14"/>
        <v>0</v>
      </c>
      <c r="AK45" s="46">
        <f t="shared" si="15"/>
        <v>0</v>
      </c>
      <c r="AL45" s="46">
        <f t="shared" si="16"/>
        <v>0</v>
      </c>
      <c r="AM45" s="46">
        <f t="shared" si="17"/>
        <v>0</v>
      </c>
      <c r="AN45" s="46">
        <f t="shared" si="18"/>
        <v>0</v>
      </c>
      <c r="AO45" s="46">
        <f t="shared" si="19"/>
        <v>0</v>
      </c>
      <c r="AP45" s="46">
        <f t="shared" si="20"/>
        <v>0</v>
      </c>
      <c r="AQ45" s="46">
        <f t="shared" si="21"/>
        <v>0</v>
      </c>
      <c r="AR45" s="46">
        <f t="shared" si="22"/>
        <v>0</v>
      </c>
      <c r="AS45" s="46">
        <f t="shared" si="23"/>
        <v>0</v>
      </c>
      <c r="AT45" s="46">
        <f t="shared" si="24"/>
        <v>0</v>
      </c>
      <c r="AU45" s="46">
        <f t="shared" si="25"/>
        <v>0</v>
      </c>
    </row>
    <row r="46" spans="1:47" x14ac:dyDescent="0.2">
      <c r="A46" s="35"/>
      <c r="D46" s="72"/>
      <c r="E46" s="186"/>
      <c r="F46" s="27">
        <v>1</v>
      </c>
      <c r="H46" s="54">
        <f t="shared" ref="H46" si="33">SUM(O46:O46)</f>
        <v>0</v>
      </c>
      <c r="I46" s="54">
        <f t="shared" ref="I46" si="34">SUM(S46:AA46)</f>
        <v>0</v>
      </c>
      <c r="J46" s="24">
        <f t="shared" ref="J46" si="35">H46+I46</f>
        <v>0</v>
      </c>
      <c r="K46" s="24">
        <f t="shared" ref="K46" si="36">J46*F46</f>
        <v>0</v>
      </c>
      <c r="L46" s="24">
        <f t="shared" ref="L46" si="37">H46*(1+M$3)+I46*(1+M$5)+R46*(1+M$4)+Q46*(1+M$2)+P46*(1+M$6)</f>
        <v>0</v>
      </c>
      <c r="M46" s="55">
        <f t="shared" si="31"/>
        <v>0</v>
      </c>
      <c r="N46" s="113"/>
      <c r="O46" s="46">
        <f t="shared" ref="O46" si="38">N46*N$9</f>
        <v>0</v>
      </c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H46" s="47">
        <f t="shared" ref="AH46" si="39">C46</f>
        <v>0</v>
      </c>
      <c r="AI46" s="46" cm="1">
        <f t="array" ref="AI46">SUM(O46:O46*$F46)</f>
        <v>0</v>
      </c>
      <c r="AJ46" s="46">
        <f t="shared" si="14"/>
        <v>0</v>
      </c>
      <c r="AK46" s="46">
        <f t="shared" si="15"/>
        <v>0</v>
      </c>
      <c r="AL46" s="46">
        <f t="shared" si="16"/>
        <v>0</v>
      </c>
      <c r="AM46" s="46">
        <f t="shared" si="17"/>
        <v>0</v>
      </c>
      <c r="AN46" s="46">
        <f t="shared" si="18"/>
        <v>0</v>
      </c>
      <c r="AO46" s="46">
        <f t="shared" si="19"/>
        <v>0</v>
      </c>
      <c r="AP46" s="46">
        <f t="shared" si="20"/>
        <v>0</v>
      </c>
      <c r="AQ46" s="46">
        <f t="shared" si="21"/>
        <v>0</v>
      </c>
      <c r="AR46" s="46">
        <f t="shared" si="22"/>
        <v>0</v>
      </c>
      <c r="AS46" s="46">
        <f t="shared" si="23"/>
        <v>0</v>
      </c>
      <c r="AT46" s="46">
        <f t="shared" si="24"/>
        <v>0</v>
      </c>
      <c r="AU46" s="46">
        <f t="shared" si="25"/>
        <v>0</v>
      </c>
    </row>
    <row r="47" spans="1:47" x14ac:dyDescent="0.2">
      <c r="A47" s="35"/>
      <c r="D47" s="72"/>
      <c r="E47" s="186"/>
      <c r="F47" s="27">
        <v>1</v>
      </c>
      <c r="H47" s="54">
        <f t="shared" si="8"/>
        <v>0</v>
      </c>
      <c r="I47" s="54">
        <f t="shared" si="9"/>
        <v>0</v>
      </c>
      <c r="J47" s="24">
        <f t="shared" si="29"/>
        <v>0</v>
      </c>
      <c r="K47" s="24">
        <f t="shared" si="30"/>
        <v>0</v>
      </c>
      <c r="L47" s="24">
        <f t="shared" si="12"/>
        <v>0</v>
      </c>
      <c r="M47" s="55">
        <f t="shared" si="31"/>
        <v>0</v>
      </c>
      <c r="N47" s="113"/>
      <c r="O47" s="46">
        <f t="shared" si="32"/>
        <v>0</v>
      </c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H47" s="47">
        <f t="shared" si="28"/>
        <v>0</v>
      </c>
      <c r="AI47" s="46" cm="1">
        <f t="array" ref="AI47">SUM(O47:O47*$F47)</f>
        <v>0</v>
      </c>
      <c r="AJ47" s="46">
        <f t="shared" si="14"/>
        <v>0</v>
      </c>
      <c r="AK47" s="46">
        <f t="shared" si="15"/>
        <v>0</v>
      </c>
      <c r="AL47" s="46">
        <f t="shared" si="16"/>
        <v>0</v>
      </c>
      <c r="AM47" s="46">
        <f t="shared" si="17"/>
        <v>0</v>
      </c>
      <c r="AN47" s="46">
        <f t="shared" si="18"/>
        <v>0</v>
      </c>
      <c r="AO47" s="46">
        <f t="shared" si="19"/>
        <v>0</v>
      </c>
      <c r="AP47" s="46">
        <f t="shared" si="20"/>
        <v>0</v>
      </c>
      <c r="AQ47" s="46">
        <f t="shared" si="21"/>
        <v>0</v>
      </c>
      <c r="AR47" s="46">
        <f t="shared" si="22"/>
        <v>0</v>
      </c>
      <c r="AS47" s="46">
        <f t="shared" si="23"/>
        <v>0</v>
      </c>
      <c r="AT47" s="46">
        <f t="shared" si="24"/>
        <v>0</v>
      </c>
      <c r="AU47" s="46">
        <f t="shared" si="25"/>
        <v>0</v>
      </c>
    </row>
    <row r="48" spans="1:47" ht="13.5" thickBot="1" x14ac:dyDescent="0.25">
      <c r="A48" s="49"/>
      <c r="D48" s="72"/>
      <c r="E48" s="186"/>
      <c r="F48" s="27">
        <v>1</v>
      </c>
      <c r="H48" s="54">
        <f t="shared" si="8"/>
        <v>0</v>
      </c>
      <c r="I48" s="54">
        <f t="shared" si="9"/>
        <v>0</v>
      </c>
      <c r="J48" s="24">
        <f t="shared" si="29"/>
        <v>0</v>
      </c>
      <c r="K48" s="24">
        <f t="shared" si="30"/>
        <v>0</v>
      </c>
      <c r="L48" s="24">
        <f t="shared" si="12"/>
        <v>0</v>
      </c>
      <c r="M48" s="55">
        <f t="shared" si="31"/>
        <v>0</v>
      </c>
      <c r="N48" s="113"/>
      <c r="O48" s="46">
        <f t="shared" si="32"/>
        <v>0</v>
      </c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H48" s="47">
        <f t="shared" si="28"/>
        <v>0</v>
      </c>
      <c r="AI48" s="46" cm="1">
        <f t="array" ref="AI48">SUM(O48:O48*$F48)</f>
        <v>0</v>
      </c>
      <c r="AJ48" s="46">
        <f t="shared" si="14"/>
        <v>0</v>
      </c>
      <c r="AK48" s="46">
        <f t="shared" si="15"/>
        <v>0</v>
      </c>
      <c r="AL48" s="46">
        <f t="shared" si="16"/>
        <v>0</v>
      </c>
      <c r="AM48" s="46">
        <f t="shared" si="17"/>
        <v>0</v>
      </c>
      <c r="AN48" s="46">
        <f t="shared" si="18"/>
        <v>0</v>
      </c>
      <c r="AO48" s="46">
        <f t="shared" si="19"/>
        <v>0</v>
      </c>
      <c r="AP48" s="46">
        <f t="shared" si="20"/>
        <v>0</v>
      </c>
      <c r="AQ48" s="46">
        <f t="shared" si="21"/>
        <v>0</v>
      </c>
      <c r="AR48" s="46">
        <f t="shared" si="22"/>
        <v>0</v>
      </c>
      <c r="AS48" s="46">
        <f t="shared" si="23"/>
        <v>0</v>
      </c>
      <c r="AT48" s="46">
        <f t="shared" si="24"/>
        <v>0</v>
      </c>
      <c r="AU48" s="46">
        <f t="shared" si="25"/>
        <v>0</v>
      </c>
    </row>
    <row r="49" spans="1:47" x14ac:dyDescent="0.2">
      <c r="A49" s="35"/>
      <c r="D49" s="72"/>
      <c r="E49" s="186"/>
      <c r="F49" s="27">
        <v>1</v>
      </c>
      <c r="H49" s="54">
        <f t="shared" si="8"/>
        <v>0</v>
      </c>
      <c r="I49" s="54">
        <f t="shared" si="9"/>
        <v>0</v>
      </c>
      <c r="J49" s="24">
        <f t="shared" si="29"/>
        <v>0</v>
      </c>
      <c r="K49" s="24">
        <f t="shared" si="30"/>
        <v>0</v>
      </c>
      <c r="L49" s="24">
        <f t="shared" si="12"/>
        <v>0</v>
      </c>
      <c r="M49" s="55">
        <f t="shared" si="31"/>
        <v>0</v>
      </c>
      <c r="N49" s="113"/>
      <c r="O49" s="46">
        <f t="shared" si="32"/>
        <v>0</v>
      </c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H49" s="47">
        <f t="shared" si="28"/>
        <v>0</v>
      </c>
      <c r="AI49" s="46" cm="1">
        <f t="array" ref="AI49">SUM(O49:O49*$F49)</f>
        <v>0</v>
      </c>
      <c r="AJ49" s="46">
        <f t="shared" si="14"/>
        <v>0</v>
      </c>
      <c r="AK49" s="46">
        <f t="shared" si="15"/>
        <v>0</v>
      </c>
      <c r="AL49" s="46">
        <f t="shared" si="16"/>
        <v>0</v>
      </c>
      <c r="AM49" s="46">
        <f t="shared" si="17"/>
        <v>0</v>
      </c>
      <c r="AN49" s="46">
        <f t="shared" si="18"/>
        <v>0</v>
      </c>
      <c r="AO49" s="46">
        <f t="shared" si="19"/>
        <v>0</v>
      </c>
      <c r="AP49" s="46">
        <f t="shared" si="20"/>
        <v>0</v>
      </c>
      <c r="AQ49" s="46">
        <f t="shared" si="21"/>
        <v>0</v>
      </c>
      <c r="AR49" s="46">
        <f t="shared" si="22"/>
        <v>0</v>
      </c>
      <c r="AS49" s="46">
        <f t="shared" si="23"/>
        <v>0</v>
      </c>
      <c r="AT49" s="46">
        <f t="shared" si="24"/>
        <v>0</v>
      </c>
      <c r="AU49" s="46">
        <f t="shared" si="25"/>
        <v>0</v>
      </c>
    </row>
    <row r="50" spans="1:47" hidden="1" x14ac:dyDescent="0.2">
      <c r="A50" s="35"/>
      <c r="D50" s="72"/>
      <c r="E50" s="186"/>
      <c r="F50" s="27">
        <v>1</v>
      </c>
      <c r="H50" s="54">
        <f t="shared" si="8"/>
        <v>0</v>
      </c>
      <c r="I50" s="54">
        <f t="shared" si="9"/>
        <v>0</v>
      </c>
      <c r="J50" s="24">
        <f t="shared" si="29"/>
        <v>0</v>
      </c>
      <c r="K50" s="24">
        <f t="shared" si="30"/>
        <v>0</v>
      </c>
      <c r="L50" s="24">
        <f t="shared" si="12"/>
        <v>0</v>
      </c>
      <c r="M50" s="55">
        <f t="shared" si="31"/>
        <v>0</v>
      </c>
      <c r="N50" s="113"/>
      <c r="O50" s="46">
        <f t="shared" si="32"/>
        <v>0</v>
      </c>
      <c r="P50" s="77"/>
      <c r="Q50" s="46"/>
      <c r="R50" s="46"/>
      <c r="S50" s="46"/>
      <c r="T50" s="77"/>
      <c r="U50" s="77"/>
      <c r="V50" s="77"/>
      <c r="W50" s="46"/>
      <c r="X50" s="46"/>
      <c r="Y50" s="46"/>
      <c r="Z50" s="46"/>
      <c r="AA50" s="46"/>
      <c r="AH50" s="47">
        <f>C50</f>
        <v>0</v>
      </c>
      <c r="AI50" s="46">
        <f t="shared" ref="AI50:AI113" si="40">$O50*$F50</f>
        <v>0</v>
      </c>
      <c r="AJ50" s="46">
        <f t="shared" si="14"/>
        <v>0</v>
      </c>
      <c r="AK50" s="46">
        <f t="shared" si="15"/>
        <v>0</v>
      </c>
      <c r="AL50" s="46">
        <f t="shared" si="16"/>
        <v>0</v>
      </c>
      <c r="AM50" s="46">
        <f t="shared" si="17"/>
        <v>0</v>
      </c>
      <c r="AN50" s="46">
        <f t="shared" si="18"/>
        <v>0</v>
      </c>
      <c r="AO50" s="46">
        <f t="shared" si="19"/>
        <v>0</v>
      </c>
      <c r="AP50" s="46">
        <f t="shared" si="20"/>
        <v>0</v>
      </c>
      <c r="AQ50" s="46">
        <f t="shared" si="21"/>
        <v>0</v>
      </c>
      <c r="AR50" s="46">
        <f t="shared" si="22"/>
        <v>0</v>
      </c>
      <c r="AS50" s="46">
        <f t="shared" si="23"/>
        <v>0</v>
      </c>
      <c r="AT50" s="46">
        <f t="shared" si="24"/>
        <v>0</v>
      </c>
      <c r="AU50" s="46">
        <f t="shared" si="25"/>
        <v>0</v>
      </c>
    </row>
    <row r="51" spans="1:47" ht="13.5" hidden="1" thickBot="1" x14ac:dyDescent="0.25">
      <c r="A51" s="49"/>
      <c r="D51" s="72"/>
      <c r="E51" s="186"/>
      <c r="F51" s="27">
        <v>1</v>
      </c>
      <c r="H51" s="54">
        <f t="shared" si="8"/>
        <v>0</v>
      </c>
      <c r="I51" s="54">
        <f t="shared" si="9"/>
        <v>0</v>
      </c>
      <c r="J51" s="24">
        <f t="shared" si="29"/>
        <v>0</v>
      </c>
      <c r="K51" s="24">
        <f t="shared" si="30"/>
        <v>0</v>
      </c>
      <c r="L51" s="24">
        <f t="shared" si="12"/>
        <v>0</v>
      </c>
      <c r="M51" s="55">
        <f t="shared" si="31"/>
        <v>0</v>
      </c>
      <c r="N51" s="113"/>
      <c r="O51" s="46">
        <f t="shared" si="32"/>
        <v>0</v>
      </c>
      <c r="P51" s="77"/>
      <c r="Q51" s="46"/>
      <c r="R51" s="46"/>
      <c r="S51" s="46"/>
      <c r="T51" s="77"/>
      <c r="U51" s="77"/>
      <c r="V51" s="77"/>
      <c r="W51" s="46"/>
      <c r="X51" s="46"/>
      <c r="Y51" s="46"/>
      <c r="Z51" s="46"/>
      <c r="AA51" s="46"/>
      <c r="AH51" s="47">
        <f>C51</f>
        <v>0</v>
      </c>
      <c r="AI51" s="46">
        <f t="shared" si="40"/>
        <v>0</v>
      </c>
      <c r="AJ51" s="46">
        <f t="shared" si="14"/>
        <v>0</v>
      </c>
      <c r="AK51" s="46">
        <f t="shared" si="15"/>
        <v>0</v>
      </c>
      <c r="AL51" s="46">
        <f t="shared" si="16"/>
        <v>0</v>
      </c>
      <c r="AM51" s="46">
        <f t="shared" si="17"/>
        <v>0</v>
      </c>
      <c r="AN51" s="46">
        <f t="shared" si="18"/>
        <v>0</v>
      </c>
      <c r="AO51" s="46">
        <f t="shared" si="19"/>
        <v>0</v>
      </c>
      <c r="AP51" s="46">
        <f t="shared" si="20"/>
        <v>0</v>
      </c>
      <c r="AQ51" s="46">
        <f t="shared" si="21"/>
        <v>0</v>
      </c>
      <c r="AR51" s="46">
        <f t="shared" si="22"/>
        <v>0</v>
      </c>
      <c r="AS51" s="46">
        <f t="shared" si="23"/>
        <v>0</v>
      </c>
      <c r="AT51" s="46">
        <f t="shared" si="24"/>
        <v>0</v>
      </c>
      <c r="AU51" s="46">
        <f t="shared" si="25"/>
        <v>0</v>
      </c>
    </row>
    <row r="52" spans="1:47" hidden="1" x14ac:dyDescent="0.2">
      <c r="A52" s="35"/>
      <c r="D52" s="72"/>
      <c r="E52" s="186"/>
      <c r="F52" s="27">
        <v>1</v>
      </c>
      <c r="H52" s="54">
        <f t="shared" si="8"/>
        <v>0</v>
      </c>
      <c r="I52" s="54">
        <f t="shared" si="9"/>
        <v>0</v>
      </c>
      <c r="J52" s="24">
        <f t="shared" si="29"/>
        <v>0</v>
      </c>
      <c r="K52" s="24">
        <f t="shared" si="30"/>
        <v>0</v>
      </c>
      <c r="L52" s="24">
        <f t="shared" si="12"/>
        <v>0</v>
      </c>
      <c r="M52" s="55">
        <f t="shared" si="31"/>
        <v>0</v>
      </c>
      <c r="N52" s="113"/>
      <c r="O52" s="46">
        <f t="shared" si="32"/>
        <v>0</v>
      </c>
      <c r="P52" s="77"/>
      <c r="Q52" s="46"/>
      <c r="R52" s="46"/>
      <c r="S52" s="46"/>
      <c r="T52" s="77"/>
      <c r="U52" s="77"/>
      <c r="V52" s="77"/>
      <c r="W52" s="46"/>
      <c r="X52" s="46"/>
      <c r="Y52" s="46"/>
      <c r="Z52" s="46"/>
      <c r="AA52" s="46"/>
      <c r="AH52" s="47">
        <f>C52</f>
        <v>0</v>
      </c>
      <c r="AI52" s="46">
        <f t="shared" si="40"/>
        <v>0</v>
      </c>
      <c r="AJ52" s="46">
        <f t="shared" si="14"/>
        <v>0</v>
      </c>
      <c r="AK52" s="46">
        <f t="shared" si="15"/>
        <v>0</v>
      </c>
      <c r="AL52" s="46">
        <f t="shared" si="16"/>
        <v>0</v>
      </c>
      <c r="AM52" s="46">
        <f t="shared" si="17"/>
        <v>0</v>
      </c>
      <c r="AN52" s="46">
        <f t="shared" si="18"/>
        <v>0</v>
      </c>
      <c r="AO52" s="46">
        <f t="shared" si="19"/>
        <v>0</v>
      </c>
      <c r="AP52" s="46">
        <f t="shared" si="20"/>
        <v>0</v>
      </c>
      <c r="AQ52" s="46">
        <f t="shared" si="21"/>
        <v>0</v>
      </c>
      <c r="AR52" s="46">
        <f t="shared" si="22"/>
        <v>0</v>
      </c>
      <c r="AS52" s="46">
        <f t="shared" si="23"/>
        <v>0</v>
      </c>
      <c r="AT52" s="46">
        <f t="shared" si="24"/>
        <v>0</v>
      </c>
      <c r="AU52" s="46">
        <f t="shared" si="25"/>
        <v>0</v>
      </c>
    </row>
    <row r="53" spans="1:47" hidden="1" x14ac:dyDescent="0.2">
      <c r="A53" s="35"/>
      <c r="D53" s="72"/>
      <c r="E53" s="186"/>
      <c r="F53" s="27">
        <v>1</v>
      </c>
      <c r="H53" s="54">
        <f t="shared" si="8"/>
        <v>0</v>
      </c>
      <c r="I53" s="54">
        <f t="shared" si="9"/>
        <v>0</v>
      </c>
      <c r="J53" s="24">
        <f t="shared" si="29"/>
        <v>0</v>
      </c>
      <c r="K53" s="24">
        <f t="shared" si="30"/>
        <v>0</v>
      </c>
      <c r="L53" s="24">
        <f t="shared" si="12"/>
        <v>0</v>
      </c>
      <c r="M53" s="55">
        <f t="shared" si="31"/>
        <v>0</v>
      </c>
      <c r="N53" s="113"/>
      <c r="O53" s="46">
        <f t="shared" si="32"/>
        <v>0</v>
      </c>
      <c r="P53" s="77"/>
      <c r="Q53" s="46"/>
      <c r="R53" s="46"/>
      <c r="S53" s="46"/>
      <c r="T53" s="77"/>
      <c r="U53" s="77"/>
      <c r="V53" s="77"/>
      <c r="W53" s="46"/>
      <c r="X53" s="46"/>
      <c r="Y53" s="46"/>
      <c r="Z53" s="46"/>
      <c r="AA53" s="46"/>
      <c r="AH53" s="47">
        <f>C53</f>
        <v>0</v>
      </c>
      <c r="AI53" s="46">
        <f t="shared" si="40"/>
        <v>0</v>
      </c>
      <c r="AJ53" s="46">
        <f t="shared" si="14"/>
        <v>0</v>
      </c>
      <c r="AK53" s="46">
        <f t="shared" si="15"/>
        <v>0</v>
      </c>
      <c r="AL53" s="46">
        <f t="shared" si="16"/>
        <v>0</v>
      </c>
      <c r="AM53" s="46">
        <f t="shared" si="17"/>
        <v>0</v>
      </c>
      <c r="AN53" s="46">
        <f t="shared" si="18"/>
        <v>0</v>
      </c>
      <c r="AO53" s="46">
        <f t="shared" si="19"/>
        <v>0</v>
      </c>
      <c r="AP53" s="46">
        <f t="shared" si="20"/>
        <v>0</v>
      </c>
      <c r="AQ53" s="46">
        <f t="shared" si="21"/>
        <v>0</v>
      </c>
      <c r="AR53" s="46">
        <f t="shared" si="22"/>
        <v>0</v>
      </c>
      <c r="AS53" s="46">
        <f t="shared" si="23"/>
        <v>0</v>
      </c>
      <c r="AT53" s="46">
        <f t="shared" si="24"/>
        <v>0</v>
      </c>
      <c r="AU53" s="46">
        <f t="shared" si="25"/>
        <v>0</v>
      </c>
    </row>
    <row r="54" spans="1:47" hidden="1" x14ac:dyDescent="0.2">
      <c r="A54" s="35"/>
      <c r="D54" s="72"/>
      <c r="E54" s="186"/>
      <c r="F54" s="27">
        <v>1</v>
      </c>
      <c r="H54" s="54">
        <f t="shared" si="8"/>
        <v>0</v>
      </c>
      <c r="I54" s="54">
        <f t="shared" si="9"/>
        <v>0</v>
      </c>
      <c r="J54" s="24">
        <f t="shared" si="29"/>
        <v>0</v>
      </c>
      <c r="K54" s="24">
        <f t="shared" si="30"/>
        <v>0</v>
      </c>
      <c r="L54" s="24">
        <f t="shared" si="12"/>
        <v>0</v>
      </c>
      <c r="M54" s="55">
        <f t="shared" si="31"/>
        <v>0</v>
      </c>
      <c r="N54" s="113"/>
      <c r="O54" s="46">
        <f t="shared" si="32"/>
        <v>0</v>
      </c>
      <c r="P54" s="77"/>
      <c r="Q54" s="46"/>
      <c r="R54" s="46"/>
      <c r="S54" s="46"/>
      <c r="T54" s="77"/>
      <c r="U54" s="77"/>
      <c r="V54" s="77"/>
      <c r="W54" s="46"/>
      <c r="X54" s="46"/>
      <c r="Y54" s="46"/>
      <c r="Z54" s="46"/>
      <c r="AA54" s="46"/>
      <c r="AH54" s="47"/>
      <c r="AI54" s="46">
        <f t="shared" si="40"/>
        <v>0</v>
      </c>
      <c r="AJ54" s="46">
        <f t="shared" si="14"/>
        <v>0</v>
      </c>
      <c r="AK54" s="46">
        <f t="shared" si="15"/>
        <v>0</v>
      </c>
      <c r="AL54" s="46">
        <f t="shared" si="16"/>
        <v>0</v>
      </c>
      <c r="AM54" s="46">
        <f t="shared" si="17"/>
        <v>0</v>
      </c>
      <c r="AN54" s="46">
        <f t="shared" si="18"/>
        <v>0</v>
      </c>
      <c r="AO54" s="46">
        <f t="shared" si="19"/>
        <v>0</v>
      </c>
      <c r="AP54" s="46">
        <f t="shared" si="20"/>
        <v>0</v>
      </c>
      <c r="AQ54" s="46">
        <f t="shared" si="21"/>
        <v>0</v>
      </c>
      <c r="AR54" s="46">
        <f t="shared" si="22"/>
        <v>0</v>
      </c>
      <c r="AS54" s="46">
        <f t="shared" si="23"/>
        <v>0</v>
      </c>
      <c r="AT54" s="46">
        <f t="shared" si="24"/>
        <v>0</v>
      </c>
      <c r="AU54" s="46">
        <f t="shared" si="25"/>
        <v>0</v>
      </c>
    </row>
    <row r="55" spans="1:47" hidden="1" x14ac:dyDescent="0.2">
      <c r="A55" s="35"/>
      <c r="D55" s="72"/>
      <c r="E55" s="186"/>
      <c r="F55" s="27">
        <v>1</v>
      </c>
      <c r="H55" s="54">
        <f t="shared" si="8"/>
        <v>0</v>
      </c>
      <c r="I55" s="54">
        <f t="shared" si="9"/>
        <v>0</v>
      </c>
      <c r="J55" s="24">
        <f t="shared" si="29"/>
        <v>0</v>
      </c>
      <c r="K55" s="24">
        <f t="shared" si="30"/>
        <v>0</v>
      </c>
      <c r="L55" s="24">
        <f t="shared" si="12"/>
        <v>0</v>
      </c>
      <c r="M55" s="55">
        <f t="shared" si="31"/>
        <v>0</v>
      </c>
      <c r="N55" s="113"/>
      <c r="O55" s="46">
        <f t="shared" si="32"/>
        <v>0</v>
      </c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H55" s="47">
        <f t="shared" ref="AH55:AH86" si="41">C55</f>
        <v>0</v>
      </c>
      <c r="AI55" s="46">
        <f t="shared" si="40"/>
        <v>0</v>
      </c>
      <c r="AJ55" s="46">
        <f t="shared" si="14"/>
        <v>0</v>
      </c>
      <c r="AK55" s="46">
        <f t="shared" si="15"/>
        <v>0</v>
      </c>
      <c r="AL55" s="46">
        <f t="shared" si="16"/>
        <v>0</v>
      </c>
      <c r="AM55" s="46">
        <f t="shared" si="17"/>
        <v>0</v>
      </c>
      <c r="AN55" s="46">
        <f t="shared" si="18"/>
        <v>0</v>
      </c>
      <c r="AO55" s="46">
        <f t="shared" si="19"/>
        <v>0</v>
      </c>
      <c r="AP55" s="46">
        <f t="shared" si="20"/>
        <v>0</v>
      </c>
      <c r="AQ55" s="46">
        <f t="shared" si="21"/>
        <v>0</v>
      </c>
      <c r="AR55" s="46">
        <f t="shared" si="22"/>
        <v>0</v>
      </c>
      <c r="AS55" s="46">
        <f t="shared" si="23"/>
        <v>0</v>
      </c>
      <c r="AT55" s="46">
        <f t="shared" si="24"/>
        <v>0</v>
      </c>
      <c r="AU55" s="46">
        <f t="shared" si="25"/>
        <v>0</v>
      </c>
    </row>
    <row r="56" spans="1:47" hidden="1" x14ac:dyDescent="0.2">
      <c r="A56" s="35"/>
      <c r="D56" s="72"/>
      <c r="E56" s="186"/>
      <c r="F56" s="27">
        <v>1</v>
      </c>
      <c r="H56" s="54">
        <f t="shared" si="8"/>
        <v>0</v>
      </c>
      <c r="I56" s="54">
        <f t="shared" si="9"/>
        <v>0</v>
      </c>
      <c r="J56" s="24">
        <f t="shared" si="29"/>
        <v>0</v>
      </c>
      <c r="K56" s="24">
        <f t="shared" si="30"/>
        <v>0</v>
      </c>
      <c r="L56" s="24">
        <f t="shared" si="12"/>
        <v>0</v>
      </c>
      <c r="M56" s="55">
        <f t="shared" si="31"/>
        <v>0</v>
      </c>
      <c r="N56" s="113"/>
      <c r="O56" s="46">
        <f t="shared" si="32"/>
        <v>0</v>
      </c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H56" s="47">
        <f t="shared" si="41"/>
        <v>0</v>
      </c>
      <c r="AI56" s="46">
        <f t="shared" si="40"/>
        <v>0</v>
      </c>
      <c r="AJ56" s="46">
        <f t="shared" si="14"/>
        <v>0</v>
      </c>
      <c r="AK56" s="46">
        <f t="shared" si="15"/>
        <v>0</v>
      </c>
      <c r="AL56" s="46">
        <f t="shared" si="16"/>
        <v>0</v>
      </c>
      <c r="AM56" s="46">
        <f t="shared" si="17"/>
        <v>0</v>
      </c>
      <c r="AN56" s="46">
        <f t="shared" si="18"/>
        <v>0</v>
      </c>
      <c r="AO56" s="46">
        <f t="shared" si="19"/>
        <v>0</v>
      </c>
      <c r="AP56" s="46">
        <f t="shared" si="20"/>
        <v>0</v>
      </c>
      <c r="AQ56" s="46">
        <f t="shared" si="21"/>
        <v>0</v>
      </c>
      <c r="AR56" s="46">
        <f t="shared" si="22"/>
        <v>0</v>
      </c>
      <c r="AS56" s="46">
        <f t="shared" si="23"/>
        <v>0</v>
      </c>
      <c r="AT56" s="46">
        <f t="shared" si="24"/>
        <v>0</v>
      </c>
      <c r="AU56" s="46">
        <f t="shared" si="25"/>
        <v>0</v>
      </c>
    </row>
    <row r="57" spans="1:47" hidden="1" x14ac:dyDescent="0.2">
      <c r="A57" s="35"/>
      <c r="D57" s="72"/>
      <c r="E57" s="186"/>
      <c r="F57" s="27">
        <v>1</v>
      </c>
      <c r="H57" s="54">
        <f t="shared" si="8"/>
        <v>0</v>
      </c>
      <c r="I57" s="54">
        <f t="shared" si="9"/>
        <v>0</v>
      </c>
      <c r="J57" s="24">
        <f t="shared" si="29"/>
        <v>0</v>
      </c>
      <c r="K57" s="24">
        <f t="shared" si="30"/>
        <v>0</v>
      </c>
      <c r="L57" s="24">
        <f t="shared" si="12"/>
        <v>0</v>
      </c>
      <c r="M57" s="55">
        <f t="shared" si="31"/>
        <v>0</v>
      </c>
      <c r="N57" s="113"/>
      <c r="O57" s="46">
        <f t="shared" si="32"/>
        <v>0</v>
      </c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H57" s="47">
        <f t="shared" si="41"/>
        <v>0</v>
      </c>
      <c r="AI57" s="46">
        <f t="shared" si="40"/>
        <v>0</v>
      </c>
      <c r="AJ57" s="46">
        <f t="shared" si="14"/>
        <v>0</v>
      </c>
      <c r="AK57" s="46">
        <f t="shared" si="15"/>
        <v>0</v>
      </c>
      <c r="AL57" s="46">
        <f t="shared" si="16"/>
        <v>0</v>
      </c>
      <c r="AM57" s="46">
        <f t="shared" si="17"/>
        <v>0</v>
      </c>
      <c r="AN57" s="46">
        <f t="shared" si="18"/>
        <v>0</v>
      </c>
      <c r="AO57" s="46">
        <f t="shared" si="19"/>
        <v>0</v>
      </c>
      <c r="AP57" s="46">
        <f t="shared" si="20"/>
        <v>0</v>
      </c>
      <c r="AQ57" s="46">
        <f t="shared" si="21"/>
        <v>0</v>
      </c>
      <c r="AR57" s="46">
        <f t="shared" si="22"/>
        <v>0</v>
      </c>
      <c r="AS57" s="46">
        <f t="shared" si="23"/>
        <v>0</v>
      </c>
      <c r="AT57" s="46">
        <f t="shared" si="24"/>
        <v>0</v>
      </c>
      <c r="AU57" s="46">
        <f t="shared" si="25"/>
        <v>0</v>
      </c>
    </row>
    <row r="58" spans="1:47" hidden="1" x14ac:dyDescent="0.2">
      <c r="A58" s="35"/>
      <c r="D58" s="72"/>
      <c r="E58" s="186"/>
      <c r="F58" s="27">
        <v>1</v>
      </c>
      <c r="H58" s="54">
        <f t="shared" si="8"/>
        <v>0</v>
      </c>
      <c r="I58" s="54">
        <f t="shared" si="9"/>
        <v>0</v>
      </c>
      <c r="J58" s="24">
        <f t="shared" si="29"/>
        <v>0</v>
      </c>
      <c r="K58" s="24">
        <f t="shared" si="30"/>
        <v>0</v>
      </c>
      <c r="L58" s="24">
        <f t="shared" si="12"/>
        <v>0</v>
      </c>
      <c r="M58" s="55">
        <f t="shared" si="31"/>
        <v>0</v>
      </c>
      <c r="N58" s="113"/>
      <c r="O58" s="46">
        <f t="shared" si="32"/>
        <v>0</v>
      </c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H58" s="47">
        <f t="shared" si="41"/>
        <v>0</v>
      </c>
      <c r="AI58" s="46">
        <f t="shared" si="40"/>
        <v>0</v>
      </c>
      <c r="AJ58" s="46">
        <f t="shared" si="14"/>
        <v>0</v>
      </c>
      <c r="AK58" s="46">
        <f t="shared" si="15"/>
        <v>0</v>
      </c>
      <c r="AL58" s="46">
        <f t="shared" si="16"/>
        <v>0</v>
      </c>
      <c r="AM58" s="46">
        <f t="shared" si="17"/>
        <v>0</v>
      </c>
      <c r="AN58" s="46">
        <f t="shared" si="18"/>
        <v>0</v>
      </c>
      <c r="AO58" s="46">
        <f t="shared" si="19"/>
        <v>0</v>
      </c>
      <c r="AP58" s="46">
        <f t="shared" si="20"/>
        <v>0</v>
      </c>
      <c r="AQ58" s="46">
        <f t="shared" si="21"/>
        <v>0</v>
      </c>
      <c r="AR58" s="46">
        <f t="shared" si="22"/>
        <v>0</v>
      </c>
      <c r="AS58" s="46">
        <f t="shared" si="23"/>
        <v>0</v>
      </c>
      <c r="AT58" s="46">
        <f t="shared" si="24"/>
        <v>0</v>
      </c>
      <c r="AU58" s="46">
        <f t="shared" si="25"/>
        <v>0</v>
      </c>
    </row>
    <row r="59" spans="1:47" hidden="1" x14ac:dyDescent="0.2">
      <c r="A59" s="35"/>
      <c r="D59" s="72"/>
      <c r="E59" s="186"/>
      <c r="F59" s="27">
        <v>1</v>
      </c>
      <c r="H59" s="54">
        <f t="shared" si="8"/>
        <v>0</v>
      </c>
      <c r="I59" s="54">
        <f t="shared" si="9"/>
        <v>0</v>
      </c>
      <c r="J59" s="24">
        <f t="shared" si="29"/>
        <v>0</v>
      </c>
      <c r="K59" s="24">
        <f t="shared" si="30"/>
        <v>0</v>
      </c>
      <c r="L59" s="24">
        <f t="shared" si="12"/>
        <v>0</v>
      </c>
      <c r="M59" s="55">
        <f t="shared" si="31"/>
        <v>0</v>
      </c>
      <c r="N59" s="113"/>
      <c r="O59" s="46">
        <f t="shared" si="32"/>
        <v>0</v>
      </c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H59" s="47">
        <f t="shared" si="41"/>
        <v>0</v>
      </c>
      <c r="AI59" s="46">
        <f t="shared" si="40"/>
        <v>0</v>
      </c>
      <c r="AJ59" s="46">
        <f t="shared" si="14"/>
        <v>0</v>
      </c>
      <c r="AK59" s="46">
        <f t="shared" si="15"/>
        <v>0</v>
      </c>
      <c r="AL59" s="46">
        <f t="shared" si="16"/>
        <v>0</v>
      </c>
      <c r="AM59" s="46">
        <f t="shared" si="17"/>
        <v>0</v>
      </c>
      <c r="AN59" s="46">
        <f t="shared" si="18"/>
        <v>0</v>
      </c>
      <c r="AO59" s="46">
        <f t="shared" si="19"/>
        <v>0</v>
      </c>
      <c r="AP59" s="46">
        <f t="shared" si="20"/>
        <v>0</v>
      </c>
      <c r="AQ59" s="46">
        <f t="shared" si="21"/>
        <v>0</v>
      </c>
      <c r="AR59" s="46">
        <f t="shared" si="22"/>
        <v>0</v>
      </c>
      <c r="AS59" s="46">
        <f t="shared" si="23"/>
        <v>0</v>
      </c>
      <c r="AT59" s="46">
        <f t="shared" si="24"/>
        <v>0</v>
      </c>
      <c r="AU59" s="46">
        <f t="shared" si="25"/>
        <v>0</v>
      </c>
    </row>
    <row r="60" spans="1:47" hidden="1" x14ac:dyDescent="0.2">
      <c r="A60" s="35"/>
      <c r="D60" s="72"/>
      <c r="E60" s="186"/>
      <c r="F60" s="27">
        <v>1</v>
      </c>
      <c r="H60" s="54">
        <f t="shared" si="8"/>
        <v>0</v>
      </c>
      <c r="I60" s="54">
        <f t="shared" si="9"/>
        <v>0</v>
      </c>
      <c r="J60" s="24">
        <f t="shared" si="29"/>
        <v>0</v>
      </c>
      <c r="K60" s="24">
        <f t="shared" si="30"/>
        <v>0</v>
      </c>
      <c r="L60" s="24">
        <f t="shared" si="12"/>
        <v>0</v>
      </c>
      <c r="M60" s="55">
        <f t="shared" si="31"/>
        <v>0</v>
      </c>
      <c r="N60" s="113"/>
      <c r="O60" s="46">
        <f t="shared" si="32"/>
        <v>0</v>
      </c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H60" s="47">
        <f t="shared" si="41"/>
        <v>0</v>
      </c>
      <c r="AI60" s="46">
        <f t="shared" si="40"/>
        <v>0</v>
      </c>
      <c r="AJ60" s="46">
        <f t="shared" si="14"/>
        <v>0</v>
      </c>
      <c r="AK60" s="46">
        <f t="shared" si="15"/>
        <v>0</v>
      </c>
      <c r="AL60" s="46">
        <f t="shared" si="16"/>
        <v>0</v>
      </c>
      <c r="AM60" s="46">
        <f t="shared" si="17"/>
        <v>0</v>
      </c>
      <c r="AN60" s="46">
        <f t="shared" si="18"/>
        <v>0</v>
      </c>
      <c r="AO60" s="46">
        <f t="shared" si="19"/>
        <v>0</v>
      </c>
      <c r="AP60" s="46">
        <f t="shared" si="20"/>
        <v>0</v>
      </c>
      <c r="AQ60" s="46">
        <f t="shared" si="21"/>
        <v>0</v>
      </c>
      <c r="AR60" s="46">
        <f t="shared" si="22"/>
        <v>0</v>
      </c>
      <c r="AS60" s="46">
        <f t="shared" si="23"/>
        <v>0</v>
      </c>
      <c r="AT60" s="46">
        <f t="shared" si="24"/>
        <v>0</v>
      </c>
      <c r="AU60" s="46">
        <f t="shared" si="25"/>
        <v>0</v>
      </c>
    </row>
    <row r="61" spans="1:47" hidden="1" x14ac:dyDescent="0.2">
      <c r="A61" s="35"/>
      <c r="D61" s="72"/>
      <c r="E61" s="186"/>
      <c r="F61" s="27">
        <v>1</v>
      </c>
      <c r="H61" s="54">
        <f t="shared" ref="H61:H92" si="42">SUM(O61:O61)</f>
        <v>0</v>
      </c>
      <c r="I61" s="54">
        <f t="shared" ref="I61:I92" si="43">SUM(S61:AA61)</f>
        <v>0</v>
      </c>
      <c r="J61" s="24">
        <f t="shared" si="29"/>
        <v>0</v>
      </c>
      <c r="K61" s="24">
        <f t="shared" si="30"/>
        <v>0</v>
      </c>
      <c r="L61" s="24">
        <f t="shared" ref="L61:L92" si="44">H61*(1+M$3)+I61*(1+M$5)+R61*(1+M$4)+Q61*(1+M$2)+P61*(1+M$6)</f>
        <v>0</v>
      </c>
      <c r="M61" s="55">
        <f t="shared" si="31"/>
        <v>0</v>
      </c>
      <c r="N61" s="113"/>
      <c r="O61" s="46">
        <f t="shared" si="32"/>
        <v>0</v>
      </c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H61" s="47">
        <f t="shared" si="41"/>
        <v>0</v>
      </c>
      <c r="AI61" s="46">
        <f t="shared" si="40"/>
        <v>0</v>
      </c>
      <c r="AJ61" s="46">
        <f t="shared" ref="AJ61:AJ92" si="45">$P61*$F61</f>
        <v>0</v>
      </c>
      <c r="AK61" s="46">
        <f t="shared" ref="AK61:AK92" si="46">$Q61*$F61</f>
        <v>0</v>
      </c>
      <c r="AL61" s="46">
        <f t="shared" ref="AL61:AL92" si="47">$R61*$F61</f>
        <v>0</v>
      </c>
      <c r="AM61" s="46">
        <f t="shared" ref="AM61:AM92" si="48">$S61*$F61</f>
        <v>0</v>
      </c>
      <c r="AN61" s="46">
        <f t="shared" ref="AN61:AN92" si="49">$T61*$F61</f>
        <v>0</v>
      </c>
      <c r="AO61" s="46">
        <f t="shared" ref="AO61:AO92" si="50">$U61*$F61</f>
        <v>0</v>
      </c>
      <c r="AP61" s="46">
        <f t="shared" ref="AP61:AP92" si="51">$V61*$F61</f>
        <v>0</v>
      </c>
      <c r="AQ61" s="46">
        <f t="shared" ref="AQ61:AQ92" si="52">$W61*$F61</f>
        <v>0</v>
      </c>
      <c r="AR61" s="46">
        <f t="shared" ref="AR61:AR92" si="53">$X61*$F61</f>
        <v>0</v>
      </c>
      <c r="AS61" s="46">
        <f t="shared" ref="AS61:AS92" si="54">$Y61*$F61</f>
        <v>0</v>
      </c>
      <c r="AT61" s="46">
        <f t="shared" ref="AT61:AT92" si="55">$Z61*$F61</f>
        <v>0</v>
      </c>
      <c r="AU61" s="46">
        <f t="shared" ref="AU61:AU92" si="56">$AA61*$F61</f>
        <v>0</v>
      </c>
    </row>
    <row r="62" spans="1:47" hidden="1" x14ac:dyDescent="0.2">
      <c r="A62" s="35"/>
      <c r="D62" s="72"/>
      <c r="E62" s="186"/>
      <c r="F62" s="27">
        <v>1</v>
      </c>
      <c r="H62" s="54">
        <f t="shared" si="42"/>
        <v>0</v>
      </c>
      <c r="I62" s="54">
        <f t="shared" si="43"/>
        <v>0</v>
      </c>
      <c r="J62" s="24">
        <f t="shared" si="29"/>
        <v>0</v>
      </c>
      <c r="K62" s="24">
        <f t="shared" si="30"/>
        <v>0</v>
      </c>
      <c r="L62" s="24">
        <f t="shared" si="44"/>
        <v>0</v>
      </c>
      <c r="M62" s="55">
        <f t="shared" si="31"/>
        <v>0</v>
      </c>
      <c r="N62" s="113"/>
      <c r="O62" s="46">
        <f t="shared" si="32"/>
        <v>0</v>
      </c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H62" s="47">
        <f t="shared" si="41"/>
        <v>0</v>
      </c>
      <c r="AI62" s="46">
        <f t="shared" si="40"/>
        <v>0</v>
      </c>
      <c r="AJ62" s="46">
        <f t="shared" si="45"/>
        <v>0</v>
      </c>
      <c r="AK62" s="46">
        <f t="shared" si="46"/>
        <v>0</v>
      </c>
      <c r="AL62" s="46">
        <f t="shared" si="47"/>
        <v>0</v>
      </c>
      <c r="AM62" s="46">
        <f t="shared" si="48"/>
        <v>0</v>
      </c>
      <c r="AN62" s="46">
        <f t="shared" si="49"/>
        <v>0</v>
      </c>
      <c r="AO62" s="46">
        <f t="shared" si="50"/>
        <v>0</v>
      </c>
      <c r="AP62" s="46">
        <f t="shared" si="51"/>
        <v>0</v>
      </c>
      <c r="AQ62" s="46">
        <f t="shared" si="52"/>
        <v>0</v>
      </c>
      <c r="AR62" s="46">
        <f t="shared" si="53"/>
        <v>0</v>
      </c>
      <c r="AS62" s="46">
        <f t="shared" si="54"/>
        <v>0</v>
      </c>
      <c r="AT62" s="46">
        <f t="shared" si="55"/>
        <v>0</v>
      </c>
      <c r="AU62" s="46">
        <f t="shared" si="56"/>
        <v>0</v>
      </c>
    </row>
    <row r="63" spans="1:47" hidden="1" x14ac:dyDescent="0.2">
      <c r="A63" s="35"/>
      <c r="D63" s="72"/>
      <c r="E63" s="186"/>
      <c r="F63" s="27">
        <v>1</v>
      </c>
      <c r="H63" s="54">
        <f t="shared" si="42"/>
        <v>0</v>
      </c>
      <c r="I63" s="54">
        <f t="shared" si="43"/>
        <v>0</v>
      </c>
      <c r="J63" s="24">
        <f t="shared" si="29"/>
        <v>0</v>
      </c>
      <c r="K63" s="24">
        <f t="shared" si="30"/>
        <v>0</v>
      </c>
      <c r="L63" s="24">
        <f t="shared" si="44"/>
        <v>0</v>
      </c>
      <c r="M63" s="55">
        <f t="shared" si="31"/>
        <v>0</v>
      </c>
      <c r="N63" s="113"/>
      <c r="O63" s="46">
        <f t="shared" si="32"/>
        <v>0</v>
      </c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H63" s="47">
        <f t="shared" si="41"/>
        <v>0</v>
      </c>
      <c r="AI63" s="46">
        <f t="shared" si="40"/>
        <v>0</v>
      </c>
      <c r="AJ63" s="46">
        <f t="shared" si="45"/>
        <v>0</v>
      </c>
      <c r="AK63" s="46">
        <f t="shared" si="46"/>
        <v>0</v>
      </c>
      <c r="AL63" s="46">
        <f t="shared" si="47"/>
        <v>0</v>
      </c>
      <c r="AM63" s="46">
        <f t="shared" si="48"/>
        <v>0</v>
      </c>
      <c r="AN63" s="46">
        <f t="shared" si="49"/>
        <v>0</v>
      </c>
      <c r="AO63" s="46">
        <f t="shared" si="50"/>
        <v>0</v>
      </c>
      <c r="AP63" s="46">
        <f t="shared" si="51"/>
        <v>0</v>
      </c>
      <c r="AQ63" s="46">
        <f t="shared" si="52"/>
        <v>0</v>
      </c>
      <c r="AR63" s="46">
        <f t="shared" si="53"/>
        <v>0</v>
      </c>
      <c r="AS63" s="46">
        <f t="shared" si="54"/>
        <v>0</v>
      </c>
      <c r="AT63" s="46">
        <f t="shared" si="55"/>
        <v>0</v>
      </c>
      <c r="AU63" s="46">
        <f t="shared" si="56"/>
        <v>0</v>
      </c>
    </row>
    <row r="64" spans="1:47" hidden="1" x14ac:dyDescent="0.2">
      <c r="A64" s="35"/>
      <c r="D64" s="72"/>
      <c r="E64" s="186"/>
      <c r="F64" s="27">
        <v>1</v>
      </c>
      <c r="H64" s="54">
        <f t="shared" si="42"/>
        <v>0</v>
      </c>
      <c r="I64" s="54">
        <f t="shared" si="43"/>
        <v>0</v>
      </c>
      <c r="J64" s="24">
        <f t="shared" si="29"/>
        <v>0</v>
      </c>
      <c r="K64" s="24">
        <f t="shared" si="30"/>
        <v>0</v>
      </c>
      <c r="L64" s="24">
        <f t="shared" si="44"/>
        <v>0</v>
      </c>
      <c r="M64" s="55">
        <f t="shared" si="31"/>
        <v>0</v>
      </c>
      <c r="N64" s="113"/>
      <c r="O64" s="46">
        <f t="shared" si="32"/>
        <v>0</v>
      </c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H64" s="47">
        <f t="shared" si="41"/>
        <v>0</v>
      </c>
      <c r="AI64" s="46">
        <f t="shared" si="40"/>
        <v>0</v>
      </c>
      <c r="AJ64" s="46">
        <f t="shared" si="45"/>
        <v>0</v>
      </c>
      <c r="AK64" s="46">
        <f t="shared" si="46"/>
        <v>0</v>
      </c>
      <c r="AL64" s="46">
        <f t="shared" si="47"/>
        <v>0</v>
      </c>
      <c r="AM64" s="46">
        <f t="shared" si="48"/>
        <v>0</v>
      </c>
      <c r="AN64" s="46">
        <f t="shared" si="49"/>
        <v>0</v>
      </c>
      <c r="AO64" s="46">
        <f t="shared" si="50"/>
        <v>0</v>
      </c>
      <c r="AP64" s="46">
        <f t="shared" si="51"/>
        <v>0</v>
      </c>
      <c r="AQ64" s="46">
        <f t="shared" si="52"/>
        <v>0</v>
      </c>
      <c r="AR64" s="46">
        <f t="shared" si="53"/>
        <v>0</v>
      </c>
      <c r="AS64" s="46">
        <f t="shared" si="54"/>
        <v>0</v>
      </c>
      <c r="AT64" s="46">
        <f t="shared" si="55"/>
        <v>0</v>
      </c>
      <c r="AU64" s="46">
        <f t="shared" si="56"/>
        <v>0</v>
      </c>
    </row>
    <row r="65" spans="1:47" hidden="1" x14ac:dyDescent="0.2">
      <c r="A65" s="35"/>
      <c r="D65" s="72"/>
      <c r="E65" s="186"/>
      <c r="F65" s="27">
        <v>1</v>
      </c>
      <c r="H65" s="54">
        <f t="shared" si="42"/>
        <v>0</v>
      </c>
      <c r="I65" s="54">
        <f t="shared" si="43"/>
        <v>0</v>
      </c>
      <c r="J65" s="24">
        <f t="shared" si="29"/>
        <v>0</v>
      </c>
      <c r="K65" s="24">
        <f t="shared" si="30"/>
        <v>0</v>
      </c>
      <c r="L65" s="24">
        <f t="shared" si="44"/>
        <v>0</v>
      </c>
      <c r="M65" s="55">
        <f t="shared" si="31"/>
        <v>0</v>
      </c>
      <c r="N65" s="113"/>
      <c r="O65" s="46">
        <f t="shared" si="32"/>
        <v>0</v>
      </c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H65" s="47">
        <f t="shared" si="41"/>
        <v>0</v>
      </c>
      <c r="AI65" s="46">
        <f t="shared" si="40"/>
        <v>0</v>
      </c>
      <c r="AJ65" s="46">
        <f t="shared" si="45"/>
        <v>0</v>
      </c>
      <c r="AK65" s="46">
        <f t="shared" si="46"/>
        <v>0</v>
      </c>
      <c r="AL65" s="46">
        <f t="shared" si="47"/>
        <v>0</v>
      </c>
      <c r="AM65" s="46">
        <f t="shared" si="48"/>
        <v>0</v>
      </c>
      <c r="AN65" s="46">
        <f t="shared" si="49"/>
        <v>0</v>
      </c>
      <c r="AO65" s="46">
        <f t="shared" si="50"/>
        <v>0</v>
      </c>
      <c r="AP65" s="46">
        <f t="shared" si="51"/>
        <v>0</v>
      </c>
      <c r="AQ65" s="46">
        <f t="shared" si="52"/>
        <v>0</v>
      </c>
      <c r="AR65" s="46">
        <f t="shared" si="53"/>
        <v>0</v>
      </c>
      <c r="AS65" s="46">
        <f t="shared" si="54"/>
        <v>0</v>
      </c>
      <c r="AT65" s="46">
        <f t="shared" si="55"/>
        <v>0</v>
      </c>
      <c r="AU65" s="46">
        <f t="shared" si="56"/>
        <v>0</v>
      </c>
    </row>
    <row r="66" spans="1:47" hidden="1" x14ac:dyDescent="0.2">
      <c r="A66" s="35"/>
      <c r="D66" s="72"/>
      <c r="E66" s="186"/>
      <c r="F66" s="27">
        <v>1</v>
      </c>
      <c r="H66" s="54">
        <f t="shared" si="42"/>
        <v>0</v>
      </c>
      <c r="I66" s="54">
        <f t="shared" si="43"/>
        <v>0</v>
      </c>
      <c r="J66" s="24">
        <f t="shared" si="29"/>
        <v>0</v>
      </c>
      <c r="K66" s="24">
        <f t="shared" si="30"/>
        <v>0</v>
      </c>
      <c r="L66" s="24">
        <f t="shared" si="44"/>
        <v>0</v>
      </c>
      <c r="M66" s="55">
        <f t="shared" si="31"/>
        <v>0</v>
      </c>
      <c r="N66" s="113"/>
      <c r="O66" s="46">
        <f t="shared" si="32"/>
        <v>0</v>
      </c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H66" s="47">
        <f t="shared" si="41"/>
        <v>0</v>
      </c>
      <c r="AI66" s="46">
        <f t="shared" si="40"/>
        <v>0</v>
      </c>
      <c r="AJ66" s="46">
        <f t="shared" si="45"/>
        <v>0</v>
      </c>
      <c r="AK66" s="46">
        <f t="shared" si="46"/>
        <v>0</v>
      </c>
      <c r="AL66" s="46">
        <f t="shared" si="47"/>
        <v>0</v>
      </c>
      <c r="AM66" s="46">
        <f t="shared" si="48"/>
        <v>0</v>
      </c>
      <c r="AN66" s="46">
        <f t="shared" si="49"/>
        <v>0</v>
      </c>
      <c r="AO66" s="46">
        <f t="shared" si="50"/>
        <v>0</v>
      </c>
      <c r="AP66" s="46">
        <f t="shared" si="51"/>
        <v>0</v>
      </c>
      <c r="AQ66" s="46">
        <f t="shared" si="52"/>
        <v>0</v>
      </c>
      <c r="AR66" s="46">
        <f t="shared" si="53"/>
        <v>0</v>
      </c>
      <c r="AS66" s="46">
        <f t="shared" si="54"/>
        <v>0</v>
      </c>
      <c r="AT66" s="46">
        <f t="shared" si="55"/>
        <v>0</v>
      </c>
      <c r="AU66" s="46">
        <f t="shared" si="56"/>
        <v>0</v>
      </c>
    </row>
    <row r="67" spans="1:47" hidden="1" x14ac:dyDescent="0.2">
      <c r="A67" s="35"/>
      <c r="D67" s="72"/>
      <c r="E67" s="186"/>
      <c r="F67" s="27">
        <v>1</v>
      </c>
      <c r="H67" s="54">
        <f t="shared" si="42"/>
        <v>0</v>
      </c>
      <c r="I67" s="54">
        <f t="shared" si="43"/>
        <v>0</v>
      </c>
      <c r="J67" s="24">
        <f t="shared" si="29"/>
        <v>0</v>
      </c>
      <c r="K67" s="24">
        <f t="shared" si="30"/>
        <v>0</v>
      </c>
      <c r="L67" s="24">
        <f t="shared" si="44"/>
        <v>0</v>
      </c>
      <c r="M67" s="55">
        <f t="shared" si="31"/>
        <v>0</v>
      </c>
      <c r="N67" s="113"/>
      <c r="O67" s="46">
        <f t="shared" si="32"/>
        <v>0</v>
      </c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H67" s="47">
        <f t="shared" si="41"/>
        <v>0</v>
      </c>
      <c r="AI67" s="46">
        <f t="shared" si="40"/>
        <v>0</v>
      </c>
      <c r="AJ67" s="46">
        <f t="shared" si="45"/>
        <v>0</v>
      </c>
      <c r="AK67" s="46">
        <f t="shared" si="46"/>
        <v>0</v>
      </c>
      <c r="AL67" s="46">
        <f t="shared" si="47"/>
        <v>0</v>
      </c>
      <c r="AM67" s="46">
        <f t="shared" si="48"/>
        <v>0</v>
      </c>
      <c r="AN67" s="46">
        <f t="shared" si="49"/>
        <v>0</v>
      </c>
      <c r="AO67" s="46">
        <f t="shared" si="50"/>
        <v>0</v>
      </c>
      <c r="AP67" s="46">
        <f t="shared" si="51"/>
        <v>0</v>
      </c>
      <c r="AQ67" s="46">
        <f t="shared" si="52"/>
        <v>0</v>
      </c>
      <c r="AR67" s="46">
        <f t="shared" si="53"/>
        <v>0</v>
      </c>
      <c r="AS67" s="46">
        <f t="shared" si="54"/>
        <v>0</v>
      </c>
      <c r="AT67" s="46">
        <f t="shared" si="55"/>
        <v>0</v>
      </c>
      <c r="AU67" s="46">
        <f t="shared" si="56"/>
        <v>0</v>
      </c>
    </row>
    <row r="68" spans="1:47" hidden="1" x14ac:dyDescent="0.2">
      <c r="A68" s="35"/>
      <c r="D68" s="72"/>
      <c r="E68" s="186"/>
      <c r="F68" s="27">
        <v>1</v>
      </c>
      <c r="H68" s="54">
        <f t="shared" si="42"/>
        <v>0</v>
      </c>
      <c r="I68" s="54">
        <f t="shared" si="43"/>
        <v>0</v>
      </c>
      <c r="J68" s="24">
        <f t="shared" si="29"/>
        <v>0</v>
      </c>
      <c r="K68" s="24">
        <f t="shared" si="30"/>
        <v>0</v>
      </c>
      <c r="L68" s="24">
        <f t="shared" si="44"/>
        <v>0</v>
      </c>
      <c r="M68" s="55">
        <f t="shared" si="31"/>
        <v>0</v>
      </c>
      <c r="N68" s="113"/>
      <c r="O68" s="46">
        <f t="shared" si="32"/>
        <v>0</v>
      </c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H68" s="47">
        <f t="shared" si="41"/>
        <v>0</v>
      </c>
      <c r="AI68" s="46">
        <f t="shared" si="40"/>
        <v>0</v>
      </c>
      <c r="AJ68" s="46">
        <f t="shared" si="45"/>
        <v>0</v>
      </c>
      <c r="AK68" s="46">
        <f t="shared" si="46"/>
        <v>0</v>
      </c>
      <c r="AL68" s="46">
        <f t="shared" si="47"/>
        <v>0</v>
      </c>
      <c r="AM68" s="46">
        <f t="shared" si="48"/>
        <v>0</v>
      </c>
      <c r="AN68" s="46">
        <f t="shared" si="49"/>
        <v>0</v>
      </c>
      <c r="AO68" s="46">
        <f t="shared" si="50"/>
        <v>0</v>
      </c>
      <c r="AP68" s="46">
        <f t="shared" si="51"/>
        <v>0</v>
      </c>
      <c r="AQ68" s="46">
        <f t="shared" si="52"/>
        <v>0</v>
      </c>
      <c r="AR68" s="46">
        <f t="shared" si="53"/>
        <v>0</v>
      </c>
      <c r="AS68" s="46">
        <f t="shared" si="54"/>
        <v>0</v>
      </c>
      <c r="AT68" s="46">
        <f t="shared" si="55"/>
        <v>0</v>
      </c>
      <c r="AU68" s="46">
        <f t="shared" si="56"/>
        <v>0</v>
      </c>
    </row>
    <row r="69" spans="1:47" hidden="1" x14ac:dyDescent="0.2">
      <c r="A69" s="35"/>
      <c r="D69" s="72"/>
      <c r="E69" s="186"/>
      <c r="F69" s="27">
        <v>1</v>
      </c>
      <c r="H69" s="54">
        <f t="shared" si="42"/>
        <v>0</v>
      </c>
      <c r="I69" s="54">
        <f t="shared" si="43"/>
        <v>0</v>
      </c>
      <c r="J69" s="24">
        <f t="shared" si="29"/>
        <v>0</v>
      </c>
      <c r="K69" s="24">
        <f t="shared" si="30"/>
        <v>0</v>
      </c>
      <c r="L69" s="24">
        <f t="shared" si="44"/>
        <v>0</v>
      </c>
      <c r="M69" s="55">
        <f t="shared" si="31"/>
        <v>0</v>
      </c>
      <c r="N69" s="113"/>
      <c r="O69" s="46">
        <f t="shared" si="32"/>
        <v>0</v>
      </c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H69" s="47">
        <f t="shared" si="41"/>
        <v>0</v>
      </c>
      <c r="AI69" s="46">
        <f t="shared" si="40"/>
        <v>0</v>
      </c>
      <c r="AJ69" s="46">
        <f t="shared" si="45"/>
        <v>0</v>
      </c>
      <c r="AK69" s="46">
        <f t="shared" si="46"/>
        <v>0</v>
      </c>
      <c r="AL69" s="46">
        <f t="shared" si="47"/>
        <v>0</v>
      </c>
      <c r="AM69" s="46">
        <f t="shared" si="48"/>
        <v>0</v>
      </c>
      <c r="AN69" s="46">
        <f t="shared" si="49"/>
        <v>0</v>
      </c>
      <c r="AO69" s="46">
        <f t="shared" si="50"/>
        <v>0</v>
      </c>
      <c r="AP69" s="46">
        <f t="shared" si="51"/>
        <v>0</v>
      </c>
      <c r="AQ69" s="46">
        <f t="shared" si="52"/>
        <v>0</v>
      </c>
      <c r="AR69" s="46">
        <f t="shared" si="53"/>
        <v>0</v>
      </c>
      <c r="AS69" s="46">
        <f t="shared" si="54"/>
        <v>0</v>
      </c>
      <c r="AT69" s="46">
        <f t="shared" si="55"/>
        <v>0</v>
      </c>
      <c r="AU69" s="46">
        <f t="shared" si="56"/>
        <v>0</v>
      </c>
    </row>
    <row r="70" spans="1:47" hidden="1" x14ac:dyDescent="0.2">
      <c r="A70" s="35"/>
      <c r="D70" s="72"/>
      <c r="E70" s="186"/>
      <c r="F70" s="27">
        <v>1</v>
      </c>
      <c r="H70" s="54">
        <f t="shared" si="42"/>
        <v>0</v>
      </c>
      <c r="I70" s="54">
        <f t="shared" si="43"/>
        <v>0</v>
      </c>
      <c r="J70" s="24">
        <f t="shared" si="29"/>
        <v>0</v>
      </c>
      <c r="K70" s="24">
        <f t="shared" si="30"/>
        <v>0</v>
      </c>
      <c r="L70" s="24">
        <f t="shared" si="44"/>
        <v>0</v>
      </c>
      <c r="M70" s="55">
        <f t="shared" si="31"/>
        <v>0</v>
      </c>
      <c r="N70" s="113"/>
      <c r="O70" s="46">
        <f t="shared" si="32"/>
        <v>0</v>
      </c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H70" s="47">
        <f t="shared" si="41"/>
        <v>0</v>
      </c>
      <c r="AI70" s="46">
        <f t="shared" si="40"/>
        <v>0</v>
      </c>
      <c r="AJ70" s="46">
        <f t="shared" si="45"/>
        <v>0</v>
      </c>
      <c r="AK70" s="46">
        <f t="shared" si="46"/>
        <v>0</v>
      </c>
      <c r="AL70" s="46">
        <f t="shared" si="47"/>
        <v>0</v>
      </c>
      <c r="AM70" s="46">
        <f t="shared" si="48"/>
        <v>0</v>
      </c>
      <c r="AN70" s="46">
        <f t="shared" si="49"/>
        <v>0</v>
      </c>
      <c r="AO70" s="46">
        <f t="shared" si="50"/>
        <v>0</v>
      </c>
      <c r="AP70" s="46">
        <f t="shared" si="51"/>
        <v>0</v>
      </c>
      <c r="AQ70" s="46">
        <f t="shared" si="52"/>
        <v>0</v>
      </c>
      <c r="AR70" s="46">
        <f t="shared" si="53"/>
        <v>0</v>
      </c>
      <c r="AS70" s="46">
        <f t="shared" si="54"/>
        <v>0</v>
      </c>
      <c r="AT70" s="46">
        <f t="shared" si="55"/>
        <v>0</v>
      </c>
      <c r="AU70" s="46">
        <f t="shared" si="56"/>
        <v>0</v>
      </c>
    </row>
    <row r="71" spans="1:47" hidden="1" x14ac:dyDescent="0.2">
      <c r="A71" s="35"/>
      <c r="D71" s="72"/>
      <c r="E71" s="186"/>
      <c r="F71" s="27">
        <v>1</v>
      </c>
      <c r="H71" s="54">
        <f t="shared" si="42"/>
        <v>0</v>
      </c>
      <c r="I71" s="54">
        <f t="shared" si="43"/>
        <v>0</v>
      </c>
      <c r="J71" s="24">
        <f t="shared" si="29"/>
        <v>0</v>
      </c>
      <c r="K71" s="24">
        <f t="shared" si="30"/>
        <v>0</v>
      </c>
      <c r="L71" s="24">
        <f t="shared" si="44"/>
        <v>0</v>
      </c>
      <c r="M71" s="55">
        <f t="shared" si="31"/>
        <v>0</v>
      </c>
      <c r="N71" s="113"/>
      <c r="O71" s="46">
        <f t="shared" si="32"/>
        <v>0</v>
      </c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H71" s="47">
        <f t="shared" si="41"/>
        <v>0</v>
      </c>
      <c r="AI71" s="46">
        <f t="shared" si="40"/>
        <v>0</v>
      </c>
      <c r="AJ71" s="46">
        <f t="shared" si="45"/>
        <v>0</v>
      </c>
      <c r="AK71" s="46">
        <f t="shared" si="46"/>
        <v>0</v>
      </c>
      <c r="AL71" s="46">
        <f t="shared" si="47"/>
        <v>0</v>
      </c>
      <c r="AM71" s="46">
        <f t="shared" si="48"/>
        <v>0</v>
      </c>
      <c r="AN71" s="46">
        <f t="shared" si="49"/>
        <v>0</v>
      </c>
      <c r="AO71" s="46">
        <f t="shared" si="50"/>
        <v>0</v>
      </c>
      <c r="AP71" s="46">
        <f t="shared" si="51"/>
        <v>0</v>
      </c>
      <c r="AQ71" s="46">
        <f t="shared" si="52"/>
        <v>0</v>
      </c>
      <c r="AR71" s="46">
        <f t="shared" si="53"/>
        <v>0</v>
      </c>
      <c r="AS71" s="46">
        <f t="shared" si="54"/>
        <v>0</v>
      </c>
      <c r="AT71" s="46">
        <f t="shared" si="55"/>
        <v>0</v>
      </c>
      <c r="AU71" s="46">
        <f t="shared" si="56"/>
        <v>0</v>
      </c>
    </row>
    <row r="72" spans="1:47" x14ac:dyDescent="0.2">
      <c r="A72" s="35"/>
      <c r="D72" s="72"/>
      <c r="E72" s="186"/>
      <c r="F72" s="27">
        <v>1</v>
      </c>
      <c r="H72" s="54">
        <f t="shared" si="42"/>
        <v>0</v>
      </c>
      <c r="I72" s="54">
        <f t="shared" si="43"/>
        <v>0</v>
      </c>
      <c r="J72" s="24">
        <f t="shared" si="29"/>
        <v>0</v>
      </c>
      <c r="K72" s="24">
        <f t="shared" si="30"/>
        <v>0</v>
      </c>
      <c r="L72" s="24">
        <f t="shared" si="44"/>
        <v>0</v>
      </c>
      <c r="M72" s="55">
        <f t="shared" si="31"/>
        <v>0</v>
      </c>
      <c r="N72" s="113"/>
      <c r="O72" s="46">
        <f t="shared" si="32"/>
        <v>0</v>
      </c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H72" s="47">
        <f t="shared" si="41"/>
        <v>0</v>
      </c>
      <c r="AI72" s="46">
        <f t="shared" si="40"/>
        <v>0</v>
      </c>
      <c r="AJ72" s="46">
        <f t="shared" si="45"/>
        <v>0</v>
      </c>
      <c r="AK72" s="46">
        <f t="shared" si="46"/>
        <v>0</v>
      </c>
      <c r="AL72" s="46">
        <f t="shared" si="47"/>
        <v>0</v>
      </c>
      <c r="AM72" s="46">
        <f t="shared" si="48"/>
        <v>0</v>
      </c>
      <c r="AN72" s="46">
        <f t="shared" si="49"/>
        <v>0</v>
      </c>
      <c r="AO72" s="46">
        <f t="shared" si="50"/>
        <v>0</v>
      </c>
      <c r="AP72" s="46">
        <f t="shared" si="51"/>
        <v>0</v>
      </c>
      <c r="AQ72" s="46">
        <f t="shared" si="52"/>
        <v>0</v>
      </c>
      <c r="AR72" s="46">
        <f t="shared" si="53"/>
        <v>0</v>
      </c>
      <c r="AS72" s="46">
        <f t="shared" si="54"/>
        <v>0</v>
      </c>
      <c r="AT72" s="46">
        <f t="shared" si="55"/>
        <v>0</v>
      </c>
      <c r="AU72" s="46">
        <f t="shared" si="56"/>
        <v>0</v>
      </c>
    </row>
    <row r="73" spans="1:47" x14ac:dyDescent="0.2">
      <c r="A73" s="35"/>
      <c r="D73" s="72"/>
      <c r="E73" s="186"/>
      <c r="F73" s="27">
        <v>1</v>
      </c>
      <c r="H73" s="54">
        <f t="shared" si="42"/>
        <v>0</v>
      </c>
      <c r="I73" s="54">
        <f t="shared" si="43"/>
        <v>0</v>
      </c>
      <c r="J73" s="24">
        <f t="shared" si="29"/>
        <v>0</v>
      </c>
      <c r="K73" s="24">
        <f t="shared" si="30"/>
        <v>0</v>
      </c>
      <c r="L73" s="24">
        <f t="shared" si="44"/>
        <v>0</v>
      </c>
      <c r="M73" s="55">
        <f t="shared" si="31"/>
        <v>0</v>
      </c>
      <c r="N73" s="113"/>
      <c r="O73" s="46">
        <f t="shared" si="32"/>
        <v>0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H73" s="47">
        <f t="shared" si="41"/>
        <v>0</v>
      </c>
      <c r="AI73" s="46">
        <f t="shared" si="40"/>
        <v>0</v>
      </c>
      <c r="AJ73" s="46">
        <f t="shared" si="45"/>
        <v>0</v>
      </c>
      <c r="AK73" s="46">
        <f t="shared" si="46"/>
        <v>0</v>
      </c>
      <c r="AL73" s="46">
        <f t="shared" si="47"/>
        <v>0</v>
      </c>
      <c r="AM73" s="46">
        <f t="shared" si="48"/>
        <v>0</v>
      </c>
      <c r="AN73" s="46">
        <f t="shared" si="49"/>
        <v>0</v>
      </c>
      <c r="AO73" s="46">
        <f t="shared" si="50"/>
        <v>0</v>
      </c>
      <c r="AP73" s="46">
        <f t="shared" si="51"/>
        <v>0</v>
      </c>
      <c r="AQ73" s="46">
        <f t="shared" si="52"/>
        <v>0</v>
      </c>
      <c r="AR73" s="46">
        <f t="shared" si="53"/>
        <v>0</v>
      </c>
      <c r="AS73" s="46">
        <f t="shared" si="54"/>
        <v>0</v>
      </c>
      <c r="AT73" s="46">
        <f t="shared" si="55"/>
        <v>0</v>
      </c>
      <c r="AU73" s="46">
        <f t="shared" si="56"/>
        <v>0</v>
      </c>
    </row>
    <row r="74" spans="1:47" x14ac:dyDescent="0.2">
      <c r="A74" s="35"/>
      <c r="D74" s="72"/>
      <c r="E74" s="186"/>
      <c r="F74" s="27">
        <v>1</v>
      </c>
      <c r="H74" s="54">
        <f t="shared" si="42"/>
        <v>0</v>
      </c>
      <c r="I74" s="54">
        <f t="shared" si="43"/>
        <v>0</v>
      </c>
      <c r="J74" s="24">
        <f t="shared" si="29"/>
        <v>0</v>
      </c>
      <c r="K74" s="24">
        <f t="shared" si="30"/>
        <v>0</v>
      </c>
      <c r="L74" s="24">
        <f t="shared" si="44"/>
        <v>0</v>
      </c>
      <c r="M74" s="55">
        <f t="shared" si="31"/>
        <v>0</v>
      </c>
      <c r="N74" s="113"/>
      <c r="O74" s="46">
        <f t="shared" si="32"/>
        <v>0</v>
      </c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H74" s="47">
        <f t="shared" si="41"/>
        <v>0</v>
      </c>
      <c r="AI74" s="46">
        <f t="shared" si="40"/>
        <v>0</v>
      </c>
      <c r="AJ74" s="46">
        <f t="shared" si="45"/>
        <v>0</v>
      </c>
      <c r="AK74" s="46">
        <f t="shared" si="46"/>
        <v>0</v>
      </c>
      <c r="AL74" s="46">
        <f t="shared" si="47"/>
        <v>0</v>
      </c>
      <c r="AM74" s="46">
        <f t="shared" si="48"/>
        <v>0</v>
      </c>
      <c r="AN74" s="46">
        <f t="shared" si="49"/>
        <v>0</v>
      </c>
      <c r="AO74" s="46">
        <f t="shared" si="50"/>
        <v>0</v>
      </c>
      <c r="AP74" s="46">
        <f t="shared" si="51"/>
        <v>0</v>
      </c>
      <c r="AQ74" s="46">
        <f t="shared" si="52"/>
        <v>0</v>
      </c>
      <c r="AR74" s="46">
        <f t="shared" si="53"/>
        <v>0</v>
      </c>
      <c r="AS74" s="46">
        <f t="shared" si="54"/>
        <v>0</v>
      </c>
      <c r="AT74" s="46">
        <f t="shared" si="55"/>
        <v>0</v>
      </c>
      <c r="AU74" s="46">
        <f t="shared" si="56"/>
        <v>0</v>
      </c>
    </row>
    <row r="75" spans="1:47" x14ac:dyDescent="0.2">
      <c r="A75" s="35"/>
      <c r="D75" s="72"/>
      <c r="E75" s="186"/>
      <c r="F75" s="27">
        <v>1</v>
      </c>
      <c r="H75" s="54">
        <f t="shared" si="42"/>
        <v>0</v>
      </c>
      <c r="I75" s="54">
        <f t="shared" si="43"/>
        <v>0</v>
      </c>
      <c r="J75" s="24">
        <f t="shared" si="29"/>
        <v>0</v>
      </c>
      <c r="K75" s="24">
        <f t="shared" si="30"/>
        <v>0</v>
      </c>
      <c r="L75" s="24">
        <f t="shared" si="44"/>
        <v>0</v>
      </c>
      <c r="M75" s="55">
        <f t="shared" si="31"/>
        <v>0</v>
      </c>
      <c r="N75" s="113"/>
      <c r="O75" s="46">
        <f t="shared" si="32"/>
        <v>0</v>
      </c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H75" s="47">
        <f t="shared" si="41"/>
        <v>0</v>
      </c>
      <c r="AI75" s="46">
        <f t="shared" si="40"/>
        <v>0</v>
      </c>
      <c r="AJ75" s="46">
        <f t="shared" si="45"/>
        <v>0</v>
      </c>
      <c r="AK75" s="46">
        <f t="shared" si="46"/>
        <v>0</v>
      </c>
      <c r="AL75" s="46">
        <f t="shared" si="47"/>
        <v>0</v>
      </c>
      <c r="AM75" s="46">
        <f t="shared" si="48"/>
        <v>0</v>
      </c>
      <c r="AN75" s="46">
        <f t="shared" si="49"/>
        <v>0</v>
      </c>
      <c r="AO75" s="46">
        <f t="shared" si="50"/>
        <v>0</v>
      </c>
      <c r="AP75" s="46">
        <f t="shared" si="51"/>
        <v>0</v>
      </c>
      <c r="AQ75" s="46">
        <f t="shared" si="52"/>
        <v>0</v>
      </c>
      <c r="AR75" s="46">
        <f t="shared" si="53"/>
        <v>0</v>
      </c>
      <c r="AS75" s="46">
        <f t="shared" si="54"/>
        <v>0</v>
      </c>
      <c r="AT75" s="46">
        <f t="shared" si="55"/>
        <v>0</v>
      </c>
      <c r="AU75" s="46">
        <f t="shared" si="56"/>
        <v>0</v>
      </c>
    </row>
    <row r="76" spans="1:47" hidden="1" x14ac:dyDescent="0.2">
      <c r="A76" s="35"/>
      <c r="D76" s="72"/>
      <c r="E76" s="186"/>
      <c r="F76" s="27">
        <v>1</v>
      </c>
      <c r="H76" s="54">
        <f t="shared" si="42"/>
        <v>0</v>
      </c>
      <c r="I76" s="54">
        <f t="shared" si="43"/>
        <v>0</v>
      </c>
      <c r="J76" s="24">
        <f t="shared" si="29"/>
        <v>0</v>
      </c>
      <c r="K76" s="24">
        <f t="shared" si="30"/>
        <v>0</v>
      </c>
      <c r="L76" s="24">
        <f t="shared" si="44"/>
        <v>0</v>
      </c>
      <c r="M76" s="55">
        <f t="shared" si="31"/>
        <v>0</v>
      </c>
      <c r="N76" s="113"/>
      <c r="O76" s="46">
        <f t="shared" si="32"/>
        <v>0</v>
      </c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H76" s="47">
        <f t="shared" si="41"/>
        <v>0</v>
      </c>
      <c r="AI76" s="46">
        <f t="shared" si="40"/>
        <v>0</v>
      </c>
      <c r="AJ76" s="46">
        <f t="shared" si="45"/>
        <v>0</v>
      </c>
      <c r="AK76" s="46">
        <f t="shared" si="46"/>
        <v>0</v>
      </c>
      <c r="AL76" s="46">
        <f t="shared" si="47"/>
        <v>0</v>
      </c>
      <c r="AM76" s="46">
        <f t="shared" si="48"/>
        <v>0</v>
      </c>
      <c r="AN76" s="46">
        <f t="shared" si="49"/>
        <v>0</v>
      </c>
      <c r="AO76" s="46">
        <f t="shared" si="50"/>
        <v>0</v>
      </c>
      <c r="AP76" s="46">
        <f t="shared" si="51"/>
        <v>0</v>
      </c>
      <c r="AQ76" s="46">
        <f t="shared" si="52"/>
        <v>0</v>
      </c>
      <c r="AR76" s="46">
        <f t="shared" si="53"/>
        <v>0</v>
      </c>
      <c r="AS76" s="46">
        <f t="shared" si="54"/>
        <v>0</v>
      </c>
      <c r="AT76" s="46">
        <f t="shared" si="55"/>
        <v>0</v>
      </c>
      <c r="AU76" s="46">
        <f t="shared" si="56"/>
        <v>0</v>
      </c>
    </row>
    <row r="77" spans="1:47" hidden="1" x14ac:dyDescent="0.2">
      <c r="A77" s="35"/>
      <c r="D77" s="72"/>
      <c r="E77" s="186"/>
      <c r="F77" s="27">
        <v>1</v>
      </c>
      <c r="H77" s="54">
        <f t="shared" si="42"/>
        <v>0</v>
      </c>
      <c r="I77" s="54">
        <f t="shared" si="43"/>
        <v>0</v>
      </c>
      <c r="J77" s="24">
        <f t="shared" si="29"/>
        <v>0</v>
      </c>
      <c r="K77" s="24">
        <f t="shared" si="30"/>
        <v>0</v>
      </c>
      <c r="L77" s="24">
        <f t="shared" si="44"/>
        <v>0</v>
      </c>
      <c r="M77" s="55">
        <f t="shared" si="31"/>
        <v>0</v>
      </c>
      <c r="N77" s="113"/>
      <c r="O77" s="46">
        <f t="shared" si="32"/>
        <v>0</v>
      </c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H77" s="47">
        <f t="shared" si="41"/>
        <v>0</v>
      </c>
      <c r="AI77" s="46">
        <f t="shared" si="40"/>
        <v>0</v>
      </c>
      <c r="AJ77" s="46">
        <f t="shared" si="45"/>
        <v>0</v>
      </c>
      <c r="AK77" s="46">
        <f t="shared" si="46"/>
        <v>0</v>
      </c>
      <c r="AL77" s="46">
        <f t="shared" si="47"/>
        <v>0</v>
      </c>
      <c r="AM77" s="46">
        <f t="shared" si="48"/>
        <v>0</v>
      </c>
      <c r="AN77" s="46">
        <f t="shared" si="49"/>
        <v>0</v>
      </c>
      <c r="AO77" s="46">
        <f t="shared" si="50"/>
        <v>0</v>
      </c>
      <c r="AP77" s="46">
        <f t="shared" si="51"/>
        <v>0</v>
      </c>
      <c r="AQ77" s="46">
        <f t="shared" si="52"/>
        <v>0</v>
      </c>
      <c r="AR77" s="46">
        <f t="shared" si="53"/>
        <v>0</v>
      </c>
      <c r="AS77" s="46">
        <f t="shared" si="54"/>
        <v>0</v>
      </c>
      <c r="AT77" s="46">
        <f t="shared" si="55"/>
        <v>0</v>
      </c>
      <c r="AU77" s="46">
        <f t="shared" si="56"/>
        <v>0</v>
      </c>
    </row>
    <row r="78" spans="1:47" hidden="1" x14ac:dyDescent="0.2">
      <c r="A78" s="35"/>
      <c r="D78" s="72"/>
      <c r="E78" s="186"/>
      <c r="F78" s="27">
        <v>1</v>
      </c>
      <c r="H78" s="54">
        <f t="shared" si="42"/>
        <v>0</v>
      </c>
      <c r="I78" s="54">
        <f t="shared" si="43"/>
        <v>0</v>
      </c>
      <c r="J78" s="24">
        <f t="shared" si="29"/>
        <v>0</v>
      </c>
      <c r="K78" s="24">
        <f t="shared" si="30"/>
        <v>0</v>
      </c>
      <c r="L78" s="24">
        <f t="shared" si="44"/>
        <v>0</v>
      </c>
      <c r="M78" s="55">
        <f t="shared" si="31"/>
        <v>0</v>
      </c>
      <c r="N78" s="113"/>
      <c r="O78" s="46">
        <f t="shared" si="32"/>
        <v>0</v>
      </c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H78" s="47">
        <f t="shared" si="41"/>
        <v>0</v>
      </c>
      <c r="AI78" s="46">
        <f t="shared" si="40"/>
        <v>0</v>
      </c>
      <c r="AJ78" s="46">
        <f t="shared" si="45"/>
        <v>0</v>
      </c>
      <c r="AK78" s="46">
        <f t="shared" si="46"/>
        <v>0</v>
      </c>
      <c r="AL78" s="46">
        <f t="shared" si="47"/>
        <v>0</v>
      </c>
      <c r="AM78" s="46">
        <f t="shared" si="48"/>
        <v>0</v>
      </c>
      <c r="AN78" s="46">
        <f t="shared" si="49"/>
        <v>0</v>
      </c>
      <c r="AO78" s="46">
        <f t="shared" si="50"/>
        <v>0</v>
      </c>
      <c r="AP78" s="46">
        <f t="shared" si="51"/>
        <v>0</v>
      </c>
      <c r="AQ78" s="46">
        <f t="shared" si="52"/>
        <v>0</v>
      </c>
      <c r="AR78" s="46">
        <f t="shared" si="53"/>
        <v>0</v>
      </c>
      <c r="AS78" s="46">
        <f t="shared" si="54"/>
        <v>0</v>
      </c>
      <c r="AT78" s="46">
        <f t="shared" si="55"/>
        <v>0</v>
      </c>
      <c r="AU78" s="46">
        <f t="shared" si="56"/>
        <v>0</v>
      </c>
    </row>
    <row r="79" spans="1:47" hidden="1" x14ac:dyDescent="0.2">
      <c r="A79" s="35"/>
      <c r="D79" s="72"/>
      <c r="E79" s="186"/>
      <c r="F79" s="27">
        <v>1</v>
      </c>
      <c r="H79" s="54">
        <f t="shared" si="42"/>
        <v>0</v>
      </c>
      <c r="I79" s="54">
        <f t="shared" si="43"/>
        <v>0</v>
      </c>
      <c r="J79" s="24">
        <f t="shared" si="29"/>
        <v>0</v>
      </c>
      <c r="K79" s="24">
        <f t="shared" si="30"/>
        <v>0</v>
      </c>
      <c r="L79" s="24">
        <f t="shared" si="44"/>
        <v>0</v>
      </c>
      <c r="M79" s="55">
        <f t="shared" si="31"/>
        <v>0</v>
      </c>
      <c r="N79" s="113"/>
      <c r="O79" s="46">
        <f t="shared" si="32"/>
        <v>0</v>
      </c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H79" s="47">
        <f t="shared" si="41"/>
        <v>0</v>
      </c>
      <c r="AI79" s="46">
        <f t="shared" si="40"/>
        <v>0</v>
      </c>
      <c r="AJ79" s="46">
        <f t="shared" si="45"/>
        <v>0</v>
      </c>
      <c r="AK79" s="46">
        <f t="shared" si="46"/>
        <v>0</v>
      </c>
      <c r="AL79" s="46">
        <f t="shared" si="47"/>
        <v>0</v>
      </c>
      <c r="AM79" s="46">
        <f t="shared" si="48"/>
        <v>0</v>
      </c>
      <c r="AN79" s="46">
        <f t="shared" si="49"/>
        <v>0</v>
      </c>
      <c r="AO79" s="46">
        <f t="shared" si="50"/>
        <v>0</v>
      </c>
      <c r="AP79" s="46">
        <f t="shared" si="51"/>
        <v>0</v>
      </c>
      <c r="AQ79" s="46">
        <f t="shared" si="52"/>
        <v>0</v>
      </c>
      <c r="AR79" s="46">
        <f t="shared" si="53"/>
        <v>0</v>
      </c>
      <c r="AS79" s="46">
        <f t="shared" si="54"/>
        <v>0</v>
      </c>
      <c r="AT79" s="46">
        <f t="shared" si="55"/>
        <v>0</v>
      </c>
      <c r="AU79" s="46">
        <f t="shared" si="56"/>
        <v>0</v>
      </c>
    </row>
    <row r="80" spans="1:47" hidden="1" x14ac:dyDescent="0.2">
      <c r="A80" s="35"/>
      <c r="D80" s="72"/>
      <c r="E80" s="186"/>
      <c r="F80" s="27">
        <v>1</v>
      </c>
      <c r="H80" s="54">
        <f t="shared" si="42"/>
        <v>0</v>
      </c>
      <c r="I80" s="54">
        <f t="shared" si="43"/>
        <v>0</v>
      </c>
      <c r="J80" s="24">
        <f t="shared" si="29"/>
        <v>0</v>
      </c>
      <c r="K80" s="24">
        <f t="shared" si="30"/>
        <v>0</v>
      </c>
      <c r="L80" s="24">
        <f t="shared" si="44"/>
        <v>0</v>
      </c>
      <c r="M80" s="55">
        <f t="shared" si="31"/>
        <v>0</v>
      </c>
      <c r="N80" s="113"/>
      <c r="O80" s="46">
        <f t="shared" si="32"/>
        <v>0</v>
      </c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H80" s="47">
        <f t="shared" si="41"/>
        <v>0</v>
      </c>
      <c r="AI80" s="46">
        <f t="shared" si="40"/>
        <v>0</v>
      </c>
      <c r="AJ80" s="46">
        <f t="shared" si="45"/>
        <v>0</v>
      </c>
      <c r="AK80" s="46">
        <f t="shared" si="46"/>
        <v>0</v>
      </c>
      <c r="AL80" s="46">
        <f t="shared" si="47"/>
        <v>0</v>
      </c>
      <c r="AM80" s="46">
        <f t="shared" si="48"/>
        <v>0</v>
      </c>
      <c r="AN80" s="46">
        <f t="shared" si="49"/>
        <v>0</v>
      </c>
      <c r="AO80" s="46">
        <f t="shared" si="50"/>
        <v>0</v>
      </c>
      <c r="AP80" s="46">
        <f t="shared" si="51"/>
        <v>0</v>
      </c>
      <c r="AQ80" s="46">
        <f t="shared" si="52"/>
        <v>0</v>
      </c>
      <c r="AR80" s="46">
        <f t="shared" si="53"/>
        <v>0</v>
      </c>
      <c r="AS80" s="46">
        <f t="shared" si="54"/>
        <v>0</v>
      </c>
      <c r="AT80" s="46">
        <f t="shared" si="55"/>
        <v>0</v>
      </c>
      <c r="AU80" s="46">
        <f t="shared" si="56"/>
        <v>0</v>
      </c>
    </row>
    <row r="81" spans="1:47" hidden="1" x14ac:dyDescent="0.2">
      <c r="A81" s="35"/>
      <c r="D81" s="72"/>
      <c r="E81" s="186"/>
      <c r="F81" s="27">
        <v>1</v>
      </c>
      <c r="H81" s="54">
        <f t="shared" si="42"/>
        <v>0</v>
      </c>
      <c r="I81" s="54">
        <f t="shared" si="43"/>
        <v>0</v>
      </c>
      <c r="J81" s="24">
        <f t="shared" si="29"/>
        <v>0</v>
      </c>
      <c r="K81" s="24">
        <f t="shared" si="30"/>
        <v>0</v>
      </c>
      <c r="L81" s="24">
        <f t="shared" si="44"/>
        <v>0</v>
      </c>
      <c r="M81" s="55">
        <f t="shared" si="31"/>
        <v>0</v>
      </c>
      <c r="N81" s="113"/>
      <c r="O81" s="46">
        <f t="shared" si="32"/>
        <v>0</v>
      </c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H81" s="47">
        <f t="shared" si="41"/>
        <v>0</v>
      </c>
      <c r="AI81" s="46">
        <f t="shared" si="40"/>
        <v>0</v>
      </c>
      <c r="AJ81" s="46">
        <f t="shared" si="45"/>
        <v>0</v>
      </c>
      <c r="AK81" s="46">
        <f t="shared" si="46"/>
        <v>0</v>
      </c>
      <c r="AL81" s="46">
        <f t="shared" si="47"/>
        <v>0</v>
      </c>
      <c r="AM81" s="46">
        <f t="shared" si="48"/>
        <v>0</v>
      </c>
      <c r="AN81" s="46">
        <f t="shared" si="49"/>
        <v>0</v>
      </c>
      <c r="AO81" s="46">
        <f t="shared" si="50"/>
        <v>0</v>
      </c>
      <c r="AP81" s="46">
        <f t="shared" si="51"/>
        <v>0</v>
      </c>
      <c r="AQ81" s="46">
        <f t="shared" si="52"/>
        <v>0</v>
      </c>
      <c r="AR81" s="46">
        <f t="shared" si="53"/>
        <v>0</v>
      </c>
      <c r="AS81" s="46">
        <f t="shared" si="54"/>
        <v>0</v>
      </c>
      <c r="AT81" s="46">
        <f t="shared" si="55"/>
        <v>0</v>
      </c>
      <c r="AU81" s="46">
        <f t="shared" si="56"/>
        <v>0</v>
      </c>
    </row>
    <row r="82" spans="1:47" hidden="1" x14ac:dyDescent="0.2">
      <c r="A82" s="35"/>
      <c r="D82" s="72"/>
      <c r="E82" s="186"/>
      <c r="F82" s="27">
        <v>1</v>
      </c>
      <c r="H82" s="54">
        <f t="shared" si="42"/>
        <v>0</v>
      </c>
      <c r="I82" s="54">
        <f t="shared" si="43"/>
        <v>0</v>
      </c>
      <c r="J82" s="24">
        <f t="shared" si="29"/>
        <v>0</v>
      </c>
      <c r="K82" s="24">
        <f t="shared" si="30"/>
        <v>0</v>
      </c>
      <c r="L82" s="24">
        <f t="shared" si="44"/>
        <v>0</v>
      </c>
      <c r="M82" s="55">
        <f t="shared" si="31"/>
        <v>0</v>
      </c>
      <c r="N82" s="113"/>
      <c r="O82" s="46">
        <f t="shared" si="32"/>
        <v>0</v>
      </c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H82" s="47">
        <f t="shared" si="41"/>
        <v>0</v>
      </c>
      <c r="AI82" s="46">
        <f t="shared" si="40"/>
        <v>0</v>
      </c>
      <c r="AJ82" s="46">
        <f t="shared" si="45"/>
        <v>0</v>
      </c>
      <c r="AK82" s="46">
        <f t="shared" si="46"/>
        <v>0</v>
      </c>
      <c r="AL82" s="46">
        <f t="shared" si="47"/>
        <v>0</v>
      </c>
      <c r="AM82" s="46">
        <f t="shared" si="48"/>
        <v>0</v>
      </c>
      <c r="AN82" s="46">
        <f t="shared" si="49"/>
        <v>0</v>
      </c>
      <c r="AO82" s="46">
        <f t="shared" si="50"/>
        <v>0</v>
      </c>
      <c r="AP82" s="46">
        <f t="shared" si="51"/>
        <v>0</v>
      </c>
      <c r="AQ82" s="46">
        <f t="shared" si="52"/>
        <v>0</v>
      </c>
      <c r="AR82" s="46">
        <f t="shared" si="53"/>
        <v>0</v>
      </c>
      <c r="AS82" s="46">
        <f t="shared" si="54"/>
        <v>0</v>
      </c>
      <c r="AT82" s="46">
        <f t="shared" si="55"/>
        <v>0</v>
      </c>
      <c r="AU82" s="46">
        <f t="shared" si="56"/>
        <v>0</v>
      </c>
    </row>
    <row r="83" spans="1:47" hidden="1" x14ac:dyDescent="0.2">
      <c r="A83" s="35"/>
      <c r="D83" s="72"/>
      <c r="E83" s="186"/>
      <c r="F83" s="27">
        <v>1</v>
      </c>
      <c r="H83" s="54">
        <f t="shared" si="42"/>
        <v>0</v>
      </c>
      <c r="I83" s="54">
        <f t="shared" si="43"/>
        <v>0</v>
      </c>
      <c r="J83" s="24">
        <f t="shared" si="29"/>
        <v>0</v>
      </c>
      <c r="K83" s="24">
        <f t="shared" si="30"/>
        <v>0</v>
      </c>
      <c r="L83" s="24">
        <f t="shared" si="44"/>
        <v>0</v>
      </c>
      <c r="M83" s="55">
        <f t="shared" si="31"/>
        <v>0</v>
      </c>
      <c r="N83" s="113"/>
      <c r="O83" s="46">
        <f t="shared" si="32"/>
        <v>0</v>
      </c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H83" s="47">
        <f t="shared" si="41"/>
        <v>0</v>
      </c>
      <c r="AI83" s="46">
        <f t="shared" si="40"/>
        <v>0</v>
      </c>
      <c r="AJ83" s="46">
        <f t="shared" si="45"/>
        <v>0</v>
      </c>
      <c r="AK83" s="46">
        <f t="shared" si="46"/>
        <v>0</v>
      </c>
      <c r="AL83" s="46">
        <f t="shared" si="47"/>
        <v>0</v>
      </c>
      <c r="AM83" s="46">
        <f t="shared" si="48"/>
        <v>0</v>
      </c>
      <c r="AN83" s="46">
        <f t="shared" si="49"/>
        <v>0</v>
      </c>
      <c r="AO83" s="46">
        <f t="shared" si="50"/>
        <v>0</v>
      </c>
      <c r="AP83" s="46">
        <f t="shared" si="51"/>
        <v>0</v>
      </c>
      <c r="AQ83" s="46">
        <f t="shared" si="52"/>
        <v>0</v>
      </c>
      <c r="AR83" s="46">
        <f t="shared" si="53"/>
        <v>0</v>
      </c>
      <c r="AS83" s="46">
        <f t="shared" si="54"/>
        <v>0</v>
      </c>
      <c r="AT83" s="46">
        <f t="shared" si="55"/>
        <v>0</v>
      </c>
      <c r="AU83" s="46">
        <f t="shared" si="56"/>
        <v>0</v>
      </c>
    </row>
    <row r="84" spans="1:47" hidden="1" x14ac:dyDescent="0.2">
      <c r="A84" s="35"/>
      <c r="D84" s="72"/>
      <c r="E84" s="186"/>
      <c r="F84" s="27">
        <v>1</v>
      </c>
      <c r="H84" s="54">
        <f t="shared" si="42"/>
        <v>0</v>
      </c>
      <c r="I84" s="54">
        <f t="shared" si="43"/>
        <v>0</v>
      </c>
      <c r="J84" s="24">
        <f t="shared" si="29"/>
        <v>0</v>
      </c>
      <c r="K84" s="24">
        <f t="shared" si="30"/>
        <v>0</v>
      </c>
      <c r="L84" s="24">
        <f t="shared" si="44"/>
        <v>0</v>
      </c>
      <c r="M84" s="55">
        <f t="shared" si="31"/>
        <v>0</v>
      </c>
      <c r="N84" s="113"/>
      <c r="O84" s="46">
        <f t="shared" si="32"/>
        <v>0</v>
      </c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H84" s="47">
        <f t="shared" si="41"/>
        <v>0</v>
      </c>
      <c r="AI84" s="46">
        <f t="shared" si="40"/>
        <v>0</v>
      </c>
      <c r="AJ84" s="46">
        <f t="shared" si="45"/>
        <v>0</v>
      </c>
      <c r="AK84" s="46">
        <f t="shared" si="46"/>
        <v>0</v>
      </c>
      <c r="AL84" s="46">
        <f t="shared" si="47"/>
        <v>0</v>
      </c>
      <c r="AM84" s="46">
        <f t="shared" si="48"/>
        <v>0</v>
      </c>
      <c r="AN84" s="46">
        <f t="shared" si="49"/>
        <v>0</v>
      </c>
      <c r="AO84" s="46">
        <f t="shared" si="50"/>
        <v>0</v>
      </c>
      <c r="AP84" s="46">
        <f t="shared" si="51"/>
        <v>0</v>
      </c>
      <c r="AQ84" s="46">
        <f t="shared" si="52"/>
        <v>0</v>
      </c>
      <c r="AR84" s="46">
        <f t="shared" si="53"/>
        <v>0</v>
      </c>
      <c r="AS84" s="46">
        <f t="shared" si="54"/>
        <v>0</v>
      </c>
      <c r="AT84" s="46">
        <f t="shared" si="55"/>
        <v>0</v>
      </c>
      <c r="AU84" s="46">
        <f t="shared" si="56"/>
        <v>0</v>
      </c>
    </row>
    <row r="85" spans="1:47" hidden="1" x14ac:dyDescent="0.2">
      <c r="A85" s="35"/>
      <c r="D85" s="72"/>
      <c r="E85" s="186"/>
      <c r="F85" s="27">
        <v>1</v>
      </c>
      <c r="H85" s="54">
        <f t="shared" si="42"/>
        <v>0</v>
      </c>
      <c r="I85" s="54">
        <f t="shared" si="43"/>
        <v>0</v>
      </c>
      <c r="J85" s="24">
        <f t="shared" si="29"/>
        <v>0</v>
      </c>
      <c r="K85" s="24">
        <f t="shared" si="30"/>
        <v>0</v>
      </c>
      <c r="L85" s="24">
        <f t="shared" si="44"/>
        <v>0</v>
      </c>
      <c r="M85" s="55">
        <f t="shared" si="31"/>
        <v>0</v>
      </c>
      <c r="N85" s="113"/>
      <c r="O85" s="46">
        <f t="shared" si="32"/>
        <v>0</v>
      </c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H85" s="47">
        <f t="shared" si="41"/>
        <v>0</v>
      </c>
      <c r="AI85" s="46">
        <f t="shared" si="40"/>
        <v>0</v>
      </c>
      <c r="AJ85" s="46">
        <f t="shared" si="45"/>
        <v>0</v>
      </c>
      <c r="AK85" s="46">
        <f t="shared" si="46"/>
        <v>0</v>
      </c>
      <c r="AL85" s="46">
        <f t="shared" si="47"/>
        <v>0</v>
      </c>
      <c r="AM85" s="46">
        <f t="shared" si="48"/>
        <v>0</v>
      </c>
      <c r="AN85" s="46">
        <f t="shared" si="49"/>
        <v>0</v>
      </c>
      <c r="AO85" s="46">
        <f t="shared" si="50"/>
        <v>0</v>
      </c>
      <c r="AP85" s="46">
        <f t="shared" si="51"/>
        <v>0</v>
      </c>
      <c r="AQ85" s="46">
        <f t="shared" si="52"/>
        <v>0</v>
      </c>
      <c r="AR85" s="46">
        <f t="shared" si="53"/>
        <v>0</v>
      </c>
      <c r="AS85" s="46">
        <f t="shared" si="54"/>
        <v>0</v>
      </c>
      <c r="AT85" s="46">
        <f t="shared" si="55"/>
        <v>0</v>
      </c>
      <c r="AU85" s="46">
        <f t="shared" si="56"/>
        <v>0</v>
      </c>
    </row>
    <row r="86" spans="1:47" hidden="1" x14ac:dyDescent="0.2">
      <c r="A86" s="35"/>
      <c r="D86" s="72"/>
      <c r="E86" s="186"/>
      <c r="F86" s="27">
        <v>1</v>
      </c>
      <c r="H86" s="54">
        <f t="shared" si="42"/>
        <v>0</v>
      </c>
      <c r="I86" s="54">
        <f t="shared" si="43"/>
        <v>0</v>
      </c>
      <c r="J86" s="24">
        <f t="shared" si="29"/>
        <v>0</v>
      </c>
      <c r="K86" s="24">
        <f t="shared" si="30"/>
        <v>0</v>
      </c>
      <c r="L86" s="24">
        <f t="shared" si="44"/>
        <v>0</v>
      </c>
      <c r="M86" s="55">
        <f t="shared" si="31"/>
        <v>0</v>
      </c>
      <c r="N86" s="113"/>
      <c r="O86" s="46">
        <f t="shared" si="32"/>
        <v>0</v>
      </c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H86" s="47">
        <f t="shared" si="41"/>
        <v>0</v>
      </c>
      <c r="AI86" s="46">
        <f t="shared" si="40"/>
        <v>0</v>
      </c>
      <c r="AJ86" s="46">
        <f t="shared" si="45"/>
        <v>0</v>
      </c>
      <c r="AK86" s="46">
        <f t="shared" si="46"/>
        <v>0</v>
      </c>
      <c r="AL86" s="46">
        <f t="shared" si="47"/>
        <v>0</v>
      </c>
      <c r="AM86" s="46">
        <f t="shared" si="48"/>
        <v>0</v>
      </c>
      <c r="AN86" s="46">
        <f t="shared" si="49"/>
        <v>0</v>
      </c>
      <c r="AO86" s="46">
        <f t="shared" si="50"/>
        <v>0</v>
      </c>
      <c r="AP86" s="46">
        <f t="shared" si="51"/>
        <v>0</v>
      </c>
      <c r="AQ86" s="46">
        <f t="shared" si="52"/>
        <v>0</v>
      </c>
      <c r="AR86" s="46">
        <f t="shared" si="53"/>
        <v>0</v>
      </c>
      <c r="AS86" s="46">
        <f t="shared" si="54"/>
        <v>0</v>
      </c>
      <c r="AT86" s="46">
        <f t="shared" si="55"/>
        <v>0</v>
      </c>
      <c r="AU86" s="46">
        <f t="shared" si="56"/>
        <v>0</v>
      </c>
    </row>
    <row r="87" spans="1:47" hidden="1" x14ac:dyDescent="0.2">
      <c r="A87" s="35"/>
      <c r="D87" s="72"/>
      <c r="E87" s="186"/>
      <c r="F87" s="27">
        <v>1</v>
      </c>
      <c r="H87" s="54">
        <f t="shared" si="42"/>
        <v>0</v>
      </c>
      <c r="I87" s="54">
        <f t="shared" si="43"/>
        <v>0</v>
      </c>
      <c r="J87" s="24">
        <f t="shared" si="29"/>
        <v>0</v>
      </c>
      <c r="K87" s="24">
        <f t="shared" si="30"/>
        <v>0</v>
      </c>
      <c r="L87" s="24">
        <f t="shared" si="44"/>
        <v>0</v>
      </c>
      <c r="M87" s="55">
        <f t="shared" si="31"/>
        <v>0</v>
      </c>
      <c r="N87" s="113"/>
      <c r="O87" s="46">
        <f t="shared" si="32"/>
        <v>0</v>
      </c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H87" s="47">
        <f t="shared" ref="AH87:AH113" si="57">C87</f>
        <v>0</v>
      </c>
      <c r="AI87" s="46">
        <f t="shared" si="40"/>
        <v>0</v>
      </c>
      <c r="AJ87" s="46">
        <f t="shared" si="45"/>
        <v>0</v>
      </c>
      <c r="AK87" s="46">
        <f t="shared" si="46"/>
        <v>0</v>
      </c>
      <c r="AL87" s="46">
        <f t="shared" si="47"/>
        <v>0</v>
      </c>
      <c r="AM87" s="46">
        <f t="shared" si="48"/>
        <v>0</v>
      </c>
      <c r="AN87" s="46">
        <f t="shared" si="49"/>
        <v>0</v>
      </c>
      <c r="AO87" s="46">
        <f t="shared" si="50"/>
        <v>0</v>
      </c>
      <c r="AP87" s="46">
        <f t="shared" si="51"/>
        <v>0</v>
      </c>
      <c r="AQ87" s="46">
        <f t="shared" si="52"/>
        <v>0</v>
      </c>
      <c r="AR87" s="46">
        <f t="shared" si="53"/>
        <v>0</v>
      </c>
      <c r="AS87" s="46">
        <f t="shared" si="54"/>
        <v>0</v>
      </c>
      <c r="AT87" s="46">
        <f t="shared" si="55"/>
        <v>0</v>
      </c>
      <c r="AU87" s="46">
        <f t="shared" si="56"/>
        <v>0</v>
      </c>
    </row>
    <row r="88" spans="1:47" hidden="1" x14ac:dyDescent="0.2">
      <c r="A88" s="35"/>
      <c r="D88" s="72"/>
      <c r="E88" s="186"/>
      <c r="F88" s="27">
        <v>1</v>
      </c>
      <c r="H88" s="54">
        <f t="shared" si="42"/>
        <v>0</v>
      </c>
      <c r="I88" s="54">
        <f t="shared" si="43"/>
        <v>0</v>
      </c>
      <c r="J88" s="24">
        <f t="shared" si="29"/>
        <v>0</v>
      </c>
      <c r="K88" s="24">
        <f t="shared" si="30"/>
        <v>0</v>
      </c>
      <c r="L88" s="24">
        <f t="shared" si="44"/>
        <v>0</v>
      </c>
      <c r="M88" s="55">
        <f t="shared" si="31"/>
        <v>0</v>
      </c>
      <c r="N88" s="113"/>
      <c r="O88" s="46">
        <f t="shared" si="32"/>
        <v>0</v>
      </c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H88" s="47">
        <f t="shared" si="57"/>
        <v>0</v>
      </c>
      <c r="AI88" s="46">
        <f t="shared" si="40"/>
        <v>0</v>
      </c>
      <c r="AJ88" s="46">
        <f t="shared" si="45"/>
        <v>0</v>
      </c>
      <c r="AK88" s="46">
        <f t="shared" si="46"/>
        <v>0</v>
      </c>
      <c r="AL88" s="46">
        <f t="shared" si="47"/>
        <v>0</v>
      </c>
      <c r="AM88" s="46">
        <f t="shared" si="48"/>
        <v>0</v>
      </c>
      <c r="AN88" s="46">
        <f t="shared" si="49"/>
        <v>0</v>
      </c>
      <c r="AO88" s="46">
        <f t="shared" si="50"/>
        <v>0</v>
      </c>
      <c r="AP88" s="46">
        <f t="shared" si="51"/>
        <v>0</v>
      </c>
      <c r="AQ88" s="46">
        <f t="shared" si="52"/>
        <v>0</v>
      </c>
      <c r="AR88" s="46">
        <f t="shared" si="53"/>
        <v>0</v>
      </c>
      <c r="AS88" s="46">
        <f t="shared" si="54"/>
        <v>0</v>
      </c>
      <c r="AT88" s="46">
        <f t="shared" si="55"/>
        <v>0</v>
      </c>
      <c r="AU88" s="46">
        <f t="shared" si="56"/>
        <v>0</v>
      </c>
    </row>
    <row r="89" spans="1:47" hidden="1" x14ac:dyDescent="0.2">
      <c r="A89" s="35"/>
      <c r="D89" s="72"/>
      <c r="E89" s="186"/>
      <c r="F89" s="27">
        <v>1</v>
      </c>
      <c r="H89" s="54">
        <f t="shared" si="42"/>
        <v>0</v>
      </c>
      <c r="I89" s="54">
        <f t="shared" si="43"/>
        <v>0</v>
      </c>
      <c r="J89" s="24">
        <f t="shared" si="29"/>
        <v>0</v>
      </c>
      <c r="K89" s="24">
        <f t="shared" si="30"/>
        <v>0</v>
      </c>
      <c r="L89" s="24">
        <f t="shared" si="44"/>
        <v>0</v>
      </c>
      <c r="M89" s="55">
        <f t="shared" si="31"/>
        <v>0</v>
      </c>
      <c r="N89" s="113"/>
      <c r="O89" s="46">
        <f t="shared" si="32"/>
        <v>0</v>
      </c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H89" s="47">
        <f t="shared" si="57"/>
        <v>0</v>
      </c>
      <c r="AI89" s="46">
        <f t="shared" si="40"/>
        <v>0</v>
      </c>
      <c r="AJ89" s="46">
        <f t="shared" si="45"/>
        <v>0</v>
      </c>
      <c r="AK89" s="46">
        <f t="shared" si="46"/>
        <v>0</v>
      </c>
      <c r="AL89" s="46">
        <f t="shared" si="47"/>
        <v>0</v>
      </c>
      <c r="AM89" s="46">
        <f t="shared" si="48"/>
        <v>0</v>
      </c>
      <c r="AN89" s="46">
        <f t="shared" si="49"/>
        <v>0</v>
      </c>
      <c r="AO89" s="46">
        <f t="shared" si="50"/>
        <v>0</v>
      </c>
      <c r="AP89" s="46">
        <f t="shared" si="51"/>
        <v>0</v>
      </c>
      <c r="AQ89" s="46">
        <f t="shared" si="52"/>
        <v>0</v>
      </c>
      <c r="AR89" s="46">
        <f t="shared" si="53"/>
        <v>0</v>
      </c>
      <c r="AS89" s="46">
        <f t="shared" si="54"/>
        <v>0</v>
      </c>
      <c r="AT89" s="46">
        <f t="shared" si="55"/>
        <v>0</v>
      </c>
      <c r="AU89" s="46">
        <f t="shared" si="56"/>
        <v>0</v>
      </c>
    </row>
    <row r="90" spans="1:47" hidden="1" x14ac:dyDescent="0.2">
      <c r="A90" s="35"/>
      <c r="D90" s="72"/>
      <c r="E90" s="186"/>
      <c r="F90" s="27">
        <v>1</v>
      </c>
      <c r="H90" s="54">
        <f t="shared" si="42"/>
        <v>0</v>
      </c>
      <c r="I90" s="54">
        <f t="shared" si="43"/>
        <v>0</v>
      </c>
      <c r="J90" s="24">
        <f t="shared" si="29"/>
        <v>0</v>
      </c>
      <c r="K90" s="24">
        <f t="shared" si="30"/>
        <v>0</v>
      </c>
      <c r="L90" s="24">
        <f t="shared" si="44"/>
        <v>0</v>
      </c>
      <c r="M90" s="55">
        <f t="shared" si="31"/>
        <v>0</v>
      </c>
      <c r="N90" s="113"/>
      <c r="O90" s="46">
        <f t="shared" si="32"/>
        <v>0</v>
      </c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H90" s="47">
        <f t="shared" si="57"/>
        <v>0</v>
      </c>
      <c r="AI90" s="46">
        <f t="shared" si="40"/>
        <v>0</v>
      </c>
      <c r="AJ90" s="46">
        <f t="shared" si="45"/>
        <v>0</v>
      </c>
      <c r="AK90" s="46">
        <f t="shared" si="46"/>
        <v>0</v>
      </c>
      <c r="AL90" s="46">
        <f t="shared" si="47"/>
        <v>0</v>
      </c>
      <c r="AM90" s="46">
        <f t="shared" si="48"/>
        <v>0</v>
      </c>
      <c r="AN90" s="46">
        <f t="shared" si="49"/>
        <v>0</v>
      </c>
      <c r="AO90" s="46">
        <f t="shared" si="50"/>
        <v>0</v>
      </c>
      <c r="AP90" s="46">
        <f t="shared" si="51"/>
        <v>0</v>
      </c>
      <c r="AQ90" s="46">
        <f t="shared" si="52"/>
        <v>0</v>
      </c>
      <c r="AR90" s="46">
        <f t="shared" si="53"/>
        <v>0</v>
      </c>
      <c r="AS90" s="46">
        <f t="shared" si="54"/>
        <v>0</v>
      </c>
      <c r="AT90" s="46">
        <f t="shared" si="55"/>
        <v>0</v>
      </c>
      <c r="AU90" s="46">
        <f t="shared" si="56"/>
        <v>0</v>
      </c>
    </row>
    <row r="91" spans="1:47" hidden="1" x14ac:dyDescent="0.2">
      <c r="A91" s="35"/>
      <c r="D91" s="72"/>
      <c r="E91" s="186"/>
      <c r="F91" s="27">
        <v>1</v>
      </c>
      <c r="H91" s="54">
        <f t="shared" si="42"/>
        <v>0</v>
      </c>
      <c r="I91" s="54">
        <f t="shared" si="43"/>
        <v>0</v>
      </c>
      <c r="J91" s="24">
        <f t="shared" si="29"/>
        <v>0</v>
      </c>
      <c r="K91" s="24">
        <f t="shared" si="30"/>
        <v>0</v>
      </c>
      <c r="L91" s="24">
        <f t="shared" si="44"/>
        <v>0</v>
      </c>
      <c r="M91" s="55">
        <f t="shared" si="31"/>
        <v>0</v>
      </c>
      <c r="N91" s="113"/>
      <c r="O91" s="46">
        <f t="shared" si="32"/>
        <v>0</v>
      </c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H91" s="47">
        <f t="shared" si="57"/>
        <v>0</v>
      </c>
      <c r="AI91" s="46">
        <f t="shared" si="40"/>
        <v>0</v>
      </c>
      <c r="AJ91" s="46">
        <f t="shared" si="45"/>
        <v>0</v>
      </c>
      <c r="AK91" s="46">
        <f t="shared" si="46"/>
        <v>0</v>
      </c>
      <c r="AL91" s="46">
        <f t="shared" si="47"/>
        <v>0</v>
      </c>
      <c r="AM91" s="46">
        <f t="shared" si="48"/>
        <v>0</v>
      </c>
      <c r="AN91" s="46">
        <f t="shared" si="49"/>
        <v>0</v>
      </c>
      <c r="AO91" s="46">
        <f t="shared" si="50"/>
        <v>0</v>
      </c>
      <c r="AP91" s="46">
        <f t="shared" si="51"/>
        <v>0</v>
      </c>
      <c r="AQ91" s="46">
        <f t="shared" si="52"/>
        <v>0</v>
      </c>
      <c r="AR91" s="46">
        <f t="shared" si="53"/>
        <v>0</v>
      </c>
      <c r="AS91" s="46">
        <f t="shared" si="54"/>
        <v>0</v>
      </c>
      <c r="AT91" s="46">
        <f t="shared" si="55"/>
        <v>0</v>
      </c>
      <c r="AU91" s="46">
        <f t="shared" si="56"/>
        <v>0</v>
      </c>
    </row>
    <row r="92" spans="1:47" hidden="1" x14ac:dyDescent="0.2">
      <c r="A92" s="35"/>
      <c r="D92" s="72"/>
      <c r="E92" s="186"/>
      <c r="F92" s="27">
        <v>1</v>
      </c>
      <c r="H92" s="54">
        <f t="shared" si="42"/>
        <v>0</v>
      </c>
      <c r="I92" s="54">
        <f t="shared" si="43"/>
        <v>0</v>
      </c>
      <c r="J92" s="24">
        <f t="shared" si="29"/>
        <v>0</v>
      </c>
      <c r="K92" s="24">
        <f t="shared" si="30"/>
        <v>0</v>
      </c>
      <c r="L92" s="24">
        <f t="shared" si="44"/>
        <v>0</v>
      </c>
      <c r="M92" s="55">
        <f t="shared" si="31"/>
        <v>0</v>
      </c>
      <c r="N92" s="113"/>
      <c r="O92" s="46">
        <f t="shared" si="32"/>
        <v>0</v>
      </c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H92" s="47">
        <f t="shared" si="57"/>
        <v>0</v>
      </c>
      <c r="AI92" s="46">
        <f t="shared" si="40"/>
        <v>0</v>
      </c>
      <c r="AJ92" s="46">
        <f t="shared" si="45"/>
        <v>0</v>
      </c>
      <c r="AK92" s="46">
        <f t="shared" si="46"/>
        <v>0</v>
      </c>
      <c r="AL92" s="46">
        <f t="shared" si="47"/>
        <v>0</v>
      </c>
      <c r="AM92" s="46">
        <f t="shared" si="48"/>
        <v>0</v>
      </c>
      <c r="AN92" s="46">
        <f t="shared" si="49"/>
        <v>0</v>
      </c>
      <c r="AO92" s="46">
        <f t="shared" si="50"/>
        <v>0</v>
      </c>
      <c r="AP92" s="46">
        <f t="shared" si="51"/>
        <v>0</v>
      </c>
      <c r="AQ92" s="46">
        <f t="shared" si="52"/>
        <v>0</v>
      </c>
      <c r="AR92" s="46">
        <f t="shared" si="53"/>
        <v>0</v>
      </c>
      <c r="AS92" s="46">
        <f t="shared" si="54"/>
        <v>0</v>
      </c>
      <c r="AT92" s="46">
        <f t="shared" si="55"/>
        <v>0</v>
      </c>
      <c r="AU92" s="46">
        <f t="shared" si="56"/>
        <v>0</v>
      </c>
    </row>
    <row r="93" spans="1:47" hidden="1" x14ac:dyDescent="0.2">
      <c r="A93" s="35"/>
      <c r="D93" s="72"/>
      <c r="E93" s="186"/>
      <c r="F93" s="27">
        <v>1</v>
      </c>
      <c r="H93" s="54">
        <f t="shared" ref="H93:H113" si="58">SUM(O93:O93)</f>
        <v>0</v>
      </c>
      <c r="I93" s="54">
        <f t="shared" ref="I93:I113" si="59">SUM(S93:AA93)</f>
        <v>0</v>
      </c>
      <c r="J93" s="24">
        <f t="shared" si="29"/>
        <v>0</v>
      </c>
      <c r="K93" s="24">
        <f t="shared" si="30"/>
        <v>0</v>
      </c>
      <c r="L93" s="24">
        <f t="shared" ref="L93:L113" si="60">H93*(1+M$3)+I93*(1+M$5)+R93*(1+M$4)+Q93*(1+M$2)+P93*(1+M$6)</f>
        <v>0</v>
      </c>
      <c r="M93" s="55">
        <f t="shared" si="31"/>
        <v>0</v>
      </c>
      <c r="N93" s="113"/>
      <c r="O93" s="46">
        <f t="shared" si="32"/>
        <v>0</v>
      </c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H93" s="47">
        <f t="shared" si="57"/>
        <v>0</v>
      </c>
      <c r="AI93" s="46">
        <f t="shared" si="40"/>
        <v>0</v>
      </c>
      <c r="AJ93" s="46">
        <f t="shared" ref="AJ93:AJ113" si="61">$P93*$F93</f>
        <v>0</v>
      </c>
      <c r="AK93" s="46">
        <f t="shared" ref="AK93:AK113" si="62">$Q93*$F93</f>
        <v>0</v>
      </c>
      <c r="AL93" s="46">
        <f t="shared" ref="AL93:AL113" si="63">$R93*$F93</f>
        <v>0</v>
      </c>
      <c r="AM93" s="46">
        <f t="shared" ref="AM93:AM113" si="64">$S93*$F93</f>
        <v>0</v>
      </c>
      <c r="AN93" s="46">
        <f t="shared" ref="AN93:AN114" si="65">$T93*$F93</f>
        <v>0</v>
      </c>
      <c r="AO93" s="46">
        <f t="shared" ref="AO93:AO114" si="66">$U93*$F93</f>
        <v>0</v>
      </c>
      <c r="AP93" s="46">
        <f t="shared" ref="AP93:AP114" si="67">$V93*$F93</f>
        <v>0</v>
      </c>
      <c r="AQ93" s="46">
        <f t="shared" ref="AQ93:AQ114" si="68">$W93*$F93</f>
        <v>0</v>
      </c>
      <c r="AR93" s="46">
        <f t="shared" ref="AR93:AR114" si="69">$X93*$F93</f>
        <v>0</v>
      </c>
      <c r="AS93" s="46">
        <f t="shared" ref="AS93:AS114" si="70">$Y93*$F93</f>
        <v>0</v>
      </c>
      <c r="AT93" s="46">
        <f t="shared" ref="AT93:AT114" si="71">$Z93*$F93</f>
        <v>0</v>
      </c>
      <c r="AU93" s="46">
        <f t="shared" ref="AU93:AU114" si="72">$AA93*$F93</f>
        <v>0</v>
      </c>
    </row>
    <row r="94" spans="1:47" hidden="1" x14ac:dyDescent="0.2">
      <c r="A94" s="35"/>
      <c r="D94" s="72"/>
      <c r="E94" s="186"/>
      <c r="F94" s="27">
        <v>1</v>
      </c>
      <c r="H94" s="54">
        <f t="shared" si="58"/>
        <v>0</v>
      </c>
      <c r="I94" s="54">
        <f t="shared" si="59"/>
        <v>0</v>
      </c>
      <c r="J94" s="24">
        <f t="shared" si="29"/>
        <v>0</v>
      </c>
      <c r="K94" s="24">
        <f t="shared" si="30"/>
        <v>0</v>
      </c>
      <c r="L94" s="24">
        <f t="shared" si="60"/>
        <v>0</v>
      </c>
      <c r="M94" s="55">
        <f t="shared" si="31"/>
        <v>0</v>
      </c>
      <c r="N94" s="113"/>
      <c r="O94" s="46">
        <f t="shared" ref="O94:O113" si="73">N94*N$9</f>
        <v>0</v>
      </c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H94" s="47">
        <f t="shared" si="57"/>
        <v>0</v>
      </c>
      <c r="AI94" s="46">
        <f t="shared" si="40"/>
        <v>0</v>
      </c>
      <c r="AJ94" s="46">
        <f t="shared" si="61"/>
        <v>0</v>
      </c>
      <c r="AK94" s="46">
        <f t="shared" si="62"/>
        <v>0</v>
      </c>
      <c r="AL94" s="46">
        <f t="shared" si="63"/>
        <v>0</v>
      </c>
      <c r="AM94" s="46">
        <f t="shared" si="64"/>
        <v>0</v>
      </c>
      <c r="AN94" s="46">
        <f t="shared" si="65"/>
        <v>0</v>
      </c>
      <c r="AO94" s="46">
        <f t="shared" si="66"/>
        <v>0</v>
      </c>
      <c r="AP94" s="46">
        <f t="shared" si="67"/>
        <v>0</v>
      </c>
      <c r="AQ94" s="46">
        <f t="shared" si="68"/>
        <v>0</v>
      </c>
      <c r="AR94" s="46">
        <f t="shared" si="69"/>
        <v>0</v>
      </c>
      <c r="AS94" s="46">
        <f t="shared" si="70"/>
        <v>0</v>
      </c>
      <c r="AT94" s="46">
        <f t="shared" si="71"/>
        <v>0</v>
      </c>
      <c r="AU94" s="46">
        <f t="shared" si="72"/>
        <v>0</v>
      </c>
    </row>
    <row r="95" spans="1:47" hidden="1" x14ac:dyDescent="0.2">
      <c r="A95" s="35"/>
      <c r="D95" s="72"/>
      <c r="E95" s="186"/>
      <c r="F95" s="27">
        <v>1</v>
      </c>
      <c r="H95" s="54">
        <f t="shared" si="58"/>
        <v>0</v>
      </c>
      <c r="I95" s="54">
        <f t="shared" si="59"/>
        <v>0</v>
      </c>
      <c r="J95" s="24">
        <f t="shared" si="29"/>
        <v>0</v>
      </c>
      <c r="K95" s="24">
        <f t="shared" si="30"/>
        <v>0</v>
      </c>
      <c r="L95" s="24">
        <f t="shared" si="60"/>
        <v>0</v>
      </c>
      <c r="M95" s="55">
        <f t="shared" si="31"/>
        <v>0</v>
      </c>
      <c r="N95" s="113"/>
      <c r="O95" s="46">
        <f t="shared" si="73"/>
        <v>0</v>
      </c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H95" s="47">
        <f t="shared" si="57"/>
        <v>0</v>
      </c>
      <c r="AI95" s="46">
        <f t="shared" si="40"/>
        <v>0</v>
      </c>
      <c r="AJ95" s="46">
        <f t="shared" si="61"/>
        <v>0</v>
      </c>
      <c r="AK95" s="46">
        <f t="shared" si="62"/>
        <v>0</v>
      </c>
      <c r="AL95" s="46">
        <f t="shared" si="63"/>
        <v>0</v>
      </c>
      <c r="AM95" s="46">
        <f t="shared" si="64"/>
        <v>0</v>
      </c>
      <c r="AN95" s="46">
        <f t="shared" si="65"/>
        <v>0</v>
      </c>
      <c r="AO95" s="46">
        <f t="shared" si="66"/>
        <v>0</v>
      </c>
      <c r="AP95" s="46">
        <f t="shared" si="67"/>
        <v>0</v>
      </c>
      <c r="AQ95" s="46">
        <f t="shared" si="68"/>
        <v>0</v>
      </c>
      <c r="AR95" s="46">
        <f t="shared" si="69"/>
        <v>0</v>
      </c>
      <c r="AS95" s="46">
        <f t="shared" si="70"/>
        <v>0</v>
      </c>
      <c r="AT95" s="46">
        <f t="shared" si="71"/>
        <v>0</v>
      </c>
      <c r="AU95" s="46">
        <f t="shared" si="72"/>
        <v>0</v>
      </c>
    </row>
    <row r="96" spans="1:47" hidden="1" x14ac:dyDescent="0.2">
      <c r="A96" s="35"/>
      <c r="D96" s="72"/>
      <c r="E96" s="186"/>
      <c r="F96" s="27">
        <v>1</v>
      </c>
      <c r="H96" s="54">
        <f t="shared" si="58"/>
        <v>0</v>
      </c>
      <c r="I96" s="54">
        <f t="shared" si="59"/>
        <v>0</v>
      </c>
      <c r="J96" s="24">
        <f t="shared" si="29"/>
        <v>0</v>
      </c>
      <c r="K96" s="24">
        <f t="shared" si="30"/>
        <v>0</v>
      </c>
      <c r="L96" s="24">
        <f t="shared" si="60"/>
        <v>0</v>
      </c>
      <c r="M96" s="55">
        <f t="shared" si="31"/>
        <v>0</v>
      </c>
      <c r="N96" s="113"/>
      <c r="O96" s="46">
        <f t="shared" si="73"/>
        <v>0</v>
      </c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H96" s="47">
        <f t="shared" si="57"/>
        <v>0</v>
      </c>
      <c r="AI96" s="46">
        <f t="shared" si="40"/>
        <v>0</v>
      </c>
      <c r="AJ96" s="46">
        <f t="shared" si="61"/>
        <v>0</v>
      </c>
      <c r="AK96" s="46">
        <f t="shared" si="62"/>
        <v>0</v>
      </c>
      <c r="AL96" s="46">
        <f t="shared" si="63"/>
        <v>0</v>
      </c>
      <c r="AM96" s="46">
        <f t="shared" si="64"/>
        <v>0</v>
      </c>
      <c r="AN96" s="46">
        <f t="shared" si="65"/>
        <v>0</v>
      </c>
      <c r="AO96" s="46">
        <f t="shared" si="66"/>
        <v>0</v>
      </c>
      <c r="AP96" s="46">
        <f t="shared" si="67"/>
        <v>0</v>
      </c>
      <c r="AQ96" s="46">
        <f t="shared" si="68"/>
        <v>0</v>
      </c>
      <c r="AR96" s="46">
        <f t="shared" si="69"/>
        <v>0</v>
      </c>
      <c r="AS96" s="46">
        <f t="shared" si="70"/>
        <v>0</v>
      </c>
      <c r="AT96" s="46">
        <f t="shared" si="71"/>
        <v>0</v>
      </c>
      <c r="AU96" s="46">
        <f t="shared" si="72"/>
        <v>0</v>
      </c>
    </row>
    <row r="97" spans="1:47" hidden="1" x14ac:dyDescent="0.2">
      <c r="A97" s="35"/>
      <c r="D97" s="72"/>
      <c r="E97" s="186"/>
      <c r="F97" s="27">
        <v>1</v>
      </c>
      <c r="H97" s="54">
        <f t="shared" si="58"/>
        <v>0</v>
      </c>
      <c r="I97" s="54">
        <f t="shared" si="59"/>
        <v>0</v>
      </c>
      <c r="J97" s="24">
        <f t="shared" si="29"/>
        <v>0</v>
      </c>
      <c r="K97" s="24">
        <f t="shared" si="30"/>
        <v>0</v>
      </c>
      <c r="L97" s="24">
        <f t="shared" si="60"/>
        <v>0</v>
      </c>
      <c r="M97" s="55">
        <f t="shared" si="31"/>
        <v>0</v>
      </c>
      <c r="N97" s="113"/>
      <c r="O97" s="46">
        <f t="shared" si="73"/>
        <v>0</v>
      </c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H97" s="47">
        <f t="shared" si="57"/>
        <v>0</v>
      </c>
      <c r="AI97" s="46">
        <f t="shared" si="40"/>
        <v>0</v>
      </c>
      <c r="AJ97" s="46">
        <f t="shared" si="61"/>
        <v>0</v>
      </c>
      <c r="AK97" s="46">
        <f t="shared" si="62"/>
        <v>0</v>
      </c>
      <c r="AL97" s="46">
        <f t="shared" si="63"/>
        <v>0</v>
      </c>
      <c r="AM97" s="46">
        <f t="shared" si="64"/>
        <v>0</v>
      </c>
      <c r="AN97" s="46">
        <f t="shared" si="65"/>
        <v>0</v>
      </c>
      <c r="AO97" s="46">
        <f t="shared" si="66"/>
        <v>0</v>
      </c>
      <c r="AP97" s="46">
        <f t="shared" si="67"/>
        <v>0</v>
      </c>
      <c r="AQ97" s="46">
        <f t="shared" si="68"/>
        <v>0</v>
      </c>
      <c r="AR97" s="46">
        <f t="shared" si="69"/>
        <v>0</v>
      </c>
      <c r="AS97" s="46">
        <f t="shared" si="70"/>
        <v>0</v>
      </c>
      <c r="AT97" s="46">
        <f t="shared" si="71"/>
        <v>0</v>
      </c>
      <c r="AU97" s="46">
        <f t="shared" si="72"/>
        <v>0</v>
      </c>
    </row>
    <row r="98" spans="1:47" hidden="1" x14ac:dyDescent="0.2">
      <c r="A98" s="35"/>
      <c r="D98" s="72"/>
      <c r="E98" s="186"/>
      <c r="F98" s="27">
        <v>1</v>
      </c>
      <c r="H98" s="54">
        <f t="shared" si="58"/>
        <v>0</v>
      </c>
      <c r="I98" s="54">
        <f t="shared" si="59"/>
        <v>0</v>
      </c>
      <c r="J98" s="24">
        <f t="shared" ref="J98:J113" si="74">H98+I98</f>
        <v>0</v>
      </c>
      <c r="K98" s="24">
        <f t="shared" ref="K98:K113" si="75">J98*F98</f>
        <v>0</v>
      </c>
      <c r="L98" s="24">
        <f t="shared" si="60"/>
        <v>0</v>
      </c>
      <c r="M98" s="55">
        <f t="shared" ref="M98:M113" si="76">SUM(F98*L98)</f>
        <v>0</v>
      </c>
      <c r="N98" s="113"/>
      <c r="O98" s="46">
        <f t="shared" si="73"/>
        <v>0</v>
      </c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H98" s="47">
        <f t="shared" si="57"/>
        <v>0</v>
      </c>
      <c r="AI98" s="46">
        <f t="shared" si="40"/>
        <v>0</v>
      </c>
      <c r="AJ98" s="46">
        <f t="shared" si="61"/>
        <v>0</v>
      </c>
      <c r="AK98" s="46">
        <f t="shared" si="62"/>
        <v>0</v>
      </c>
      <c r="AL98" s="46">
        <f t="shared" si="63"/>
        <v>0</v>
      </c>
      <c r="AM98" s="46">
        <f t="shared" si="64"/>
        <v>0</v>
      </c>
      <c r="AN98" s="46">
        <f t="shared" si="65"/>
        <v>0</v>
      </c>
      <c r="AO98" s="46">
        <f t="shared" si="66"/>
        <v>0</v>
      </c>
      <c r="AP98" s="46">
        <f t="shared" si="67"/>
        <v>0</v>
      </c>
      <c r="AQ98" s="46">
        <f t="shared" si="68"/>
        <v>0</v>
      </c>
      <c r="AR98" s="46">
        <f t="shared" si="69"/>
        <v>0</v>
      </c>
      <c r="AS98" s="46">
        <f t="shared" si="70"/>
        <v>0</v>
      </c>
      <c r="AT98" s="46">
        <f t="shared" si="71"/>
        <v>0</v>
      </c>
      <c r="AU98" s="46">
        <f t="shared" si="72"/>
        <v>0</v>
      </c>
    </row>
    <row r="99" spans="1:47" hidden="1" x14ac:dyDescent="0.2">
      <c r="A99" s="35"/>
      <c r="D99" s="72"/>
      <c r="E99" s="186"/>
      <c r="F99" s="27">
        <v>1</v>
      </c>
      <c r="H99" s="54">
        <f t="shared" si="58"/>
        <v>0</v>
      </c>
      <c r="I99" s="54">
        <f t="shared" si="59"/>
        <v>0</v>
      </c>
      <c r="J99" s="24">
        <f t="shared" si="74"/>
        <v>0</v>
      </c>
      <c r="K99" s="24">
        <f t="shared" si="75"/>
        <v>0</v>
      </c>
      <c r="L99" s="24">
        <f t="shared" si="60"/>
        <v>0</v>
      </c>
      <c r="M99" s="55">
        <f t="shared" si="76"/>
        <v>0</v>
      </c>
      <c r="N99" s="113"/>
      <c r="O99" s="46">
        <f t="shared" si="73"/>
        <v>0</v>
      </c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H99" s="47">
        <f t="shared" si="57"/>
        <v>0</v>
      </c>
      <c r="AI99" s="46">
        <f t="shared" si="40"/>
        <v>0</v>
      </c>
      <c r="AJ99" s="46">
        <f t="shared" si="61"/>
        <v>0</v>
      </c>
      <c r="AK99" s="46">
        <f t="shared" si="62"/>
        <v>0</v>
      </c>
      <c r="AL99" s="46">
        <f t="shared" si="63"/>
        <v>0</v>
      </c>
      <c r="AM99" s="46">
        <f t="shared" si="64"/>
        <v>0</v>
      </c>
      <c r="AN99" s="46">
        <f t="shared" si="65"/>
        <v>0</v>
      </c>
      <c r="AO99" s="46">
        <f t="shared" si="66"/>
        <v>0</v>
      </c>
      <c r="AP99" s="46">
        <f t="shared" si="67"/>
        <v>0</v>
      </c>
      <c r="AQ99" s="46">
        <f t="shared" si="68"/>
        <v>0</v>
      </c>
      <c r="AR99" s="46">
        <f t="shared" si="69"/>
        <v>0</v>
      </c>
      <c r="AS99" s="46">
        <f t="shared" si="70"/>
        <v>0</v>
      </c>
      <c r="AT99" s="46">
        <f t="shared" si="71"/>
        <v>0</v>
      </c>
      <c r="AU99" s="46">
        <f t="shared" si="72"/>
        <v>0</v>
      </c>
    </row>
    <row r="100" spans="1:47" hidden="1" x14ac:dyDescent="0.2">
      <c r="A100" s="35"/>
      <c r="D100" s="72"/>
      <c r="E100" s="186"/>
      <c r="F100" s="27">
        <v>1</v>
      </c>
      <c r="H100" s="54">
        <f t="shared" si="58"/>
        <v>0</v>
      </c>
      <c r="I100" s="54">
        <f t="shared" si="59"/>
        <v>0</v>
      </c>
      <c r="J100" s="24">
        <f t="shared" si="74"/>
        <v>0</v>
      </c>
      <c r="K100" s="24">
        <f t="shared" si="75"/>
        <v>0</v>
      </c>
      <c r="L100" s="24">
        <f t="shared" si="60"/>
        <v>0</v>
      </c>
      <c r="M100" s="55">
        <f t="shared" si="76"/>
        <v>0</v>
      </c>
      <c r="N100" s="113"/>
      <c r="O100" s="46">
        <f t="shared" si="73"/>
        <v>0</v>
      </c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H100" s="47">
        <f t="shared" si="57"/>
        <v>0</v>
      </c>
      <c r="AI100" s="46">
        <f t="shared" si="40"/>
        <v>0</v>
      </c>
      <c r="AJ100" s="46">
        <f t="shared" si="61"/>
        <v>0</v>
      </c>
      <c r="AK100" s="46">
        <f t="shared" si="62"/>
        <v>0</v>
      </c>
      <c r="AL100" s="46">
        <f t="shared" si="63"/>
        <v>0</v>
      </c>
      <c r="AM100" s="46">
        <f t="shared" si="64"/>
        <v>0</v>
      </c>
      <c r="AN100" s="46">
        <f t="shared" si="65"/>
        <v>0</v>
      </c>
      <c r="AO100" s="46">
        <f t="shared" si="66"/>
        <v>0</v>
      </c>
      <c r="AP100" s="46">
        <f t="shared" si="67"/>
        <v>0</v>
      </c>
      <c r="AQ100" s="46">
        <f t="shared" si="68"/>
        <v>0</v>
      </c>
      <c r="AR100" s="46">
        <f t="shared" si="69"/>
        <v>0</v>
      </c>
      <c r="AS100" s="46">
        <f t="shared" si="70"/>
        <v>0</v>
      </c>
      <c r="AT100" s="46">
        <f t="shared" si="71"/>
        <v>0</v>
      </c>
      <c r="AU100" s="46">
        <f t="shared" si="72"/>
        <v>0</v>
      </c>
    </row>
    <row r="101" spans="1:47" hidden="1" x14ac:dyDescent="0.2">
      <c r="A101" s="35"/>
      <c r="D101" s="72"/>
      <c r="E101" s="186"/>
      <c r="F101" s="27">
        <v>1</v>
      </c>
      <c r="H101" s="54">
        <f t="shared" si="58"/>
        <v>0</v>
      </c>
      <c r="I101" s="54">
        <f t="shared" si="59"/>
        <v>0</v>
      </c>
      <c r="J101" s="24">
        <f t="shared" si="74"/>
        <v>0</v>
      </c>
      <c r="K101" s="24">
        <f t="shared" si="75"/>
        <v>0</v>
      </c>
      <c r="L101" s="24">
        <f t="shared" si="60"/>
        <v>0</v>
      </c>
      <c r="M101" s="55">
        <f t="shared" si="76"/>
        <v>0</v>
      </c>
      <c r="N101" s="113"/>
      <c r="O101" s="46">
        <f t="shared" si="73"/>
        <v>0</v>
      </c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H101" s="47">
        <f t="shared" si="57"/>
        <v>0</v>
      </c>
      <c r="AI101" s="46">
        <f t="shared" si="40"/>
        <v>0</v>
      </c>
      <c r="AJ101" s="46">
        <f t="shared" si="61"/>
        <v>0</v>
      </c>
      <c r="AK101" s="46">
        <f t="shared" si="62"/>
        <v>0</v>
      </c>
      <c r="AL101" s="46">
        <f t="shared" si="63"/>
        <v>0</v>
      </c>
      <c r="AM101" s="46">
        <f t="shared" si="64"/>
        <v>0</v>
      </c>
      <c r="AN101" s="46">
        <f t="shared" si="65"/>
        <v>0</v>
      </c>
      <c r="AO101" s="46">
        <f t="shared" si="66"/>
        <v>0</v>
      </c>
      <c r="AP101" s="46">
        <f t="shared" si="67"/>
        <v>0</v>
      </c>
      <c r="AQ101" s="46">
        <f t="shared" si="68"/>
        <v>0</v>
      </c>
      <c r="AR101" s="46">
        <f t="shared" si="69"/>
        <v>0</v>
      </c>
      <c r="AS101" s="46">
        <f t="shared" si="70"/>
        <v>0</v>
      </c>
      <c r="AT101" s="46">
        <f t="shared" si="71"/>
        <v>0</v>
      </c>
      <c r="AU101" s="46">
        <f t="shared" si="72"/>
        <v>0</v>
      </c>
    </row>
    <row r="102" spans="1:47" hidden="1" x14ac:dyDescent="0.2">
      <c r="A102" s="35"/>
      <c r="D102" s="72"/>
      <c r="E102" s="186"/>
      <c r="F102" s="27">
        <v>1</v>
      </c>
      <c r="H102" s="54">
        <f t="shared" si="58"/>
        <v>0</v>
      </c>
      <c r="I102" s="54">
        <f t="shared" si="59"/>
        <v>0</v>
      </c>
      <c r="J102" s="24">
        <f t="shared" si="74"/>
        <v>0</v>
      </c>
      <c r="K102" s="24">
        <f t="shared" si="75"/>
        <v>0</v>
      </c>
      <c r="L102" s="24">
        <f t="shared" si="60"/>
        <v>0</v>
      </c>
      <c r="M102" s="55">
        <f t="shared" si="76"/>
        <v>0</v>
      </c>
      <c r="N102" s="113"/>
      <c r="O102" s="46">
        <f t="shared" si="73"/>
        <v>0</v>
      </c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H102" s="47">
        <f t="shared" si="57"/>
        <v>0</v>
      </c>
      <c r="AI102" s="46">
        <f t="shared" si="40"/>
        <v>0</v>
      </c>
      <c r="AJ102" s="46">
        <f t="shared" si="61"/>
        <v>0</v>
      </c>
      <c r="AK102" s="46">
        <f t="shared" si="62"/>
        <v>0</v>
      </c>
      <c r="AL102" s="46">
        <f t="shared" si="63"/>
        <v>0</v>
      </c>
      <c r="AM102" s="46">
        <f t="shared" si="64"/>
        <v>0</v>
      </c>
      <c r="AN102" s="46">
        <f t="shared" si="65"/>
        <v>0</v>
      </c>
      <c r="AO102" s="46">
        <f t="shared" si="66"/>
        <v>0</v>
      </c>
      <c r="AP102" s="46">
        <f t="shared" si="67"/>
        <v>0</v>
      </c>
      <c r="AQ102" s="46">
        <f t="shared" si="68"/>
        <v>0</v>
      </c>
      <c r="AR102" s="46">
        <f t="shared" si="69"/>
        <v>0</v>
      </c>
      <c r="AS102" s="46">
        <f t="shared" si="70"/>
        <v>0</v>
      </c>
      <c r="AT102" s="46">
        <f t="shared" si="71"/>
        <v>0</v>
      </c>
      <c r="AU102" s="46">
        <f t="shared" si="72"/>
        <v>0</v>
      </c>
    </row>
    <row r="103" spans="1:47" hidden="1" x14ac:dyDescent="0.2">
      <c r="A103" s="35"/>
      <c r="D103" s="72"/>
      <c r="E103" s="186"/>
      <c r="F103" s="27">
        <v>1</v>
      </c>
      <c r="H103" s="54">
        <f t="shared" si="58"/>
        <v>0</v>
      </c>
      <c r="I103" s="54">
        <f t="shared" si="59"/>
        <v>0</v>
      </c>
      <c r="J103" s="24">
        <f t="shared" si="74"/>
        <v>0</v>
      </c>
      <c r="K103" s="24">
        <f t="shared" si="75"/>
        <v>0</v>
      </c>
      <c r="L103" s="24">
        <f t="shared" si="60"/>
        <v>0</v>
      </c>
      <c r="M103" s="55">
        <f t="shared" si="76"/>
        <v>0</v>
      </c>
      <c r="N103" s="113"/>
      <c r="O103" s="46">
        <f t="shared" si="73"/>
        <v>0</v>
      </c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H103" s="47">
        <f t="shared" si="57"/>
        <v>0</v>
      </c>
      <c r="AI103" s="46">
        <f t="shared" si="40"/>
        <v>0</v>
      </c>
      <c r="AJ103" s="46">
        <f t="shared" si="61"/>
        <v>0</v>
      </c>
      <c r="AK103" s="46">
        <f t="shared" si="62"/>
        <v>0</v>
      </c>
      <c r="AL103" s="46">
        <f t="shared" si="63"/>
        <v>0</v>
      </c>
      <c r="AM103" s="46">
        <f t="shared" si="64"/>
        <v>0</v>
      </c>
      <c r="AN103" s="46">
        <f t="shared" si="65"/>
        <v>0</v>
      </c>
      <c r="AO103" s="46">
        <f t="shared" si="66"/>
        <v>0</v>
      </c>
      <c r="AP103" s="46">
        <f t="shared" si="67"/>
        <v>0</v>
      </c>
      <c r="AQ103" s="46">
        <f t="shared" si="68"/>
        <v>0</v>
      </c>
      <c r="AR103" s="46">
        <f t="shared" si="69"/>
        <v>0</v>
      </c>
      <c r="AS103" s="46">
        <f t="shared" si="70"/>
        <v>0</v>
      </c>
      <c r="AT103" s="46">
        <f t="shared" si="71"/>
        <v>0</v>
      </c>
      <c r="AU103" s="46">
        <f t="shared" si="72"/>
        <v>0</v>
      </c>
    </row>
    <row r="104" spans="1:47" hidden="1" x14ac:dyDescent="0.2">
      <c r="A104" s="35"/>
      <c r="D104" s="72"/>
      <c r="E104" s="186"/>
      <c r="F104" s="27">
        <v>1</v>
      </c>
      <c r="H104" s="54">
        <f t="shared" si="58"/>
        <v>0</v>
      </c>
      <c r="I104" s="54">
        <f t="shared" si="59"/>
        <v>0</v>
      </c>
      <c r="J104" s="24">
        <f t="shared" si="74"/>
        <v>0</v>
      </c>
      <c r="K104" s="24">
        <f t="shared" si="75"/>
        <v>0</v>
      </c>
      <c r="L104" s="24">
        <f t="shared" si="60"/>
        <v>0</v>
      </c>
      <c r="M104" s="55">
        <f t="shared" si="76"/>
        <v>0</v>
      </c>
      <c r="N104" s="113"/>
      <c r="O104" s="46">
        <f t="shared" si="73"/>
        <v>0</v>
      </c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H104" s="47">
        <f t="shared" si="57"/>
        <v>0</v>
      </c>
      <c r="AI104" s="46">
        <f t="shared" si="40"/>
        <v>0</v>
      </c>
      <c r="AJ104" s="46">
        <f t="shared" si="61"/>
        <v>0</v>
      </c>
      <c r="AK104" s="46">
        <f t="shared" si="62"/>
        <v>0</v>
      </c>
      <c r="AL104" s="46">
        <f t="shared" si="63"/>
        <v>0</v>
      </c>
      <c r="AM104" s="46">
        <f t="shared" si="64"/>
        <v>0</v>
      </c>
      <c r="AN104" s="46">
        <f t="shared" si="65"/>
        <v>0</v>
      </c>
      <c r="AO104" s="46">
        <f t="shared" si="66"/>
        <v>0</v>
      </c>
      <c r="AP104" s="46">
        <f t="shared" si="67"/>
        <v>0</v>
      </c>
      <c r="AQ104" s="46">
        <f t="shared" si="68"/>
        <v>0</v>
      </c>
      <c r="AR104" s="46">
        <f t="shared" si="69"/>
        <v>0</v>
      </c>
      <c r="AS104" s="46">
        <f t="shared" si="70"/>
        <v>0</v>
      </c>
      <c r="AT104" s="46">
        <f t="shared" si="71"/>
        <v>0</v>
      </c>
      <c r="AU104" s="46">
        <f t="shared" si="72"/>
        <v>0</v>
      </c>
    </row>
    <row r="105" spans="1:47" x14ac:dyDescent="0.2">
      <c r="A105" s="35"/>
      <c r="D105" s="72"/>
      <c r="E105" s="186"/>
      <c r="F105" s="27">
        <v>1</v>
      </c>
      <c r="H105" s="54">
        <f t="shared" si="58"/>
        <v>0</v>
      </c>
      <c r="I105" s="54">
        <f t="shared" si="59"/>
        <v>0</v>
      </c>
      <c r="J105" s="24">
        <f t="shared" si="74"/>
        <v>0</v>
      </c>
      <c r="K105" s="24">
        <f t="shared" si="75"/>
        <v>0</v>
      </c>
      <c r="L105" s="24">
        <f t="shared" si="60"/>
        <v>0</v>
      </c>
      <c r="M105" s="55">
        <f t="shared" si="76"/>
        <v>0</v>
      </c>
      <c r="N105" s="113"/>
      <c r="O105" s="46">
        <f t="shared" si="73"/>
        <v>0</v>
      </c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H105" s="47">
        <f t="shared" si="57"/>
        <v>0</v>
      </c>
      <c r="AI105" s="46">
        <f t="shared" si="40"/>
        <v>0</v>
      </c>
      <c r="AJ105" s="46">
        <f t="shared" si="61"/>
        <v>0</v>
      </c>
      <c r="AK105" s="46">
        <f t="shared" si="62"/>
        <v>0</v>
      </c>
      <c r="AL105" s="46">
        <f t="shared" si="63"/>
        <v>0</v>
      </c>
      <c r="AM105" s="46">
        <f t="shared" si="64"/>
        <v>0</v>
      </c>
      <c r="AN105" s="46">
        <f t="shared" si="65"/>
        <v>0</v>
      </c>
      <c r="AO105" s="46">
        <f t="shared" si="66"/>
        <v>0</v>
      </c>
      <c r="AP105" s="46">
        <f t="shared" si="67"/>
        <v>0</v>
      </c>
      <c r="AQ105" s="46">
        <f t="shared" si="68"/>
        <v>0</v>
      </c>
      <c r="AR105" s="46">
        <f t="shared" si="69"/>
        <v>0</v>
      </c>
      <c r="AS105" s="46">
        <f t="shared" si="70"/>
        <v>0</v>
      </c>
      <c r="AT105" s="46">
        <f t="shared" si="71"/>
        <v>0</v>
      </c>
      <c r="AU105" s="46">
        <f t="shared" si="72"/>
        <v>0</v>
      </c>
    </row>
    <row r="106" spans="1:47" x14ac:dyDescent="0.2">
      <c r="A106" s="35"/>
      <c r="D106" s="72"/>
      <c r="E106" s="186"/>
      <c r="F106" s="27">
        <v>1</v>
      </c>
      <c r="H106" s="54">
        <f t="shared" si="58"/>
        <v>0</v>
      </c>
      <c r="I106" s="54">
        <f t="shared" si="59"/>
        <v>0</v>
      </c>
      <c r="J106" s="24">
        <f t="shared" si="74"/>
        <v>0</v>
      </c>
      <c r="K106" s="24">
        <f t="shared" si="75"/>
        <v>0</v>
      </c>
      <c r="L106" s="24">
        <f t="shared" si="60"/>
        <v>0</v>
      </c>
      <c r="M106" s="55">
        <f t="shared" si="76"/>
        <v>0</v>
      </c>
      <c r="N106" s="113"/>
      <c r="O106" s="46">
        <f t="shared" si="73"/>
        <v>0</v>
      </c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H106" s="47">
        <f t="shared" si="57"/>
        <v>0</v>
      </c>
      <c r="AI106" s="46">
        <f t="shared" si="40"/>
        <v>0</v>
      </c>
      <c r="AJ106" s="46">
        <f t="shared" si="61"/>
        <v>0</v>
      </c>
      <c r="AK106" s="46">
        <f t="shared" si="62"/>
        <v>0</v>
      </c>
      <c r="AL106" s="46">
        <f t="shared" si="63"/>
        <v>0</v>
      </c>
      <c r="AM106" s="46">
        <f t="shared" si="64"/>
        <v>0</v>
      </c>
      <c r="AN106" s="46">
        <f t="shared" si="65"/>
        <v>0</v>
      </c>
      <c r="AO106" s="46">
        <f t="shared" si="66"/>
        <v>0</v>
      </c>
      <c r="AP106" s="46">
        <f t="shared" si="67"/>
        <v>0</v>
      </c>
      <c r="AQ106" s="46">
        <f t="shared" si="68"/>
        <v>0</v>
      </c>
      <c r="AR106" s="46">
        <f t="shared" si="69"/>
        <v>0</v>
      </c>
      <c r="AS106" s="46">
        <f t="shared" si="70"/>
        <v>0</v>
      </c>
      <c r="AT106" s="46">
        <f t="shared" si="71"/>
        <v>0</v>
      </c>
      <c r="AU106" s="46">
        <f t="shared" si="72"/>
        <v>0</v>
      </c>
    </row>
    <row r="107" spans="1:47" x14ac:dyDescent="0.2">
      <c r="A107" s="35"/>
      <c r="D107" s="72"/>
      <c r="E107" s="186"/>
      <c r="F107" s="27">
        <v>1</v>
      </c>
      <c r="H107" s="54">
        <f t="shared" si="58"/>
        <v>0</v>
      </c>
      <c r="I107" s="54">
        <f t="shared" si="59"/>
        <v>0</v>
      </c>
      <c r="J107" s="24">
        <f t="shared" si="74"/>
        <v>0</v>
      </c>
      <c r="K107" s="24">
        <f t="shared" si="75"/>
        <v>0</v>
      </c>
      <c r="L107" s="24">
        <f t="shared" si="60"/>
        <v>0</v>
      </c>
      <c r="M107" s="55">
        <f t="shared" si="76"/>
        <v>0</v>
      </c>
      <c r="N107" s="113"/>
      <c r="O107" s="46">
        <f t="shared" si="73"/>
        <v>0</v>
      </c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H107" s="47">
        <f t="shared" si="57"/>
        <v>0</v>
      </c>
      <c r="AI107" s="46">
        <f t="shared" si="40"/>
        <v>0</v>
      </c>
      <c r="AJ107" s="46">
        <f t="shared" si="61"/>
        <v>0</v>
      </c>
      <c r="AK107" s="46">
        <f t="shared" si="62"/>
        <v>0</v>
      </c>
      <c r="AL107" s="46">
        <f t="shared" si="63"/>
        <v>0</v>
      </c>
      <c r="AM107" s="46">
        <f t="shared" si="64"/>
        <v>0</v>
      </c>
      <c r="AN107" s="46">
        <f t="shared" si="65"/>
        <v>0</v>
      </c>
      <c r="AO107" s="46">
        <f t="shared" si="66"/>
        <v>0</v>
      </c>
      <c r="AP107" s="46">
        <f t="shared" si="67"/>
        <v>0</v>
      </c>
      <c r="AQ107" s="46">
        <f t="shared" si="68"/>
        <v>0</v>
      </c>
      <c r="AR107" s="46">
        <f t="shared" si="69"/>
        <v>0</v>
      </c>
      <c r="AS107" s="46">
        <f t="shared" si="70"/>
        <v>0</v>
      </c>
      <c r="AT107" s="46">
        <f t="shared" si="71"/>
        <v>0</v>
      </c>
      <c r="AU107" s="46">
        <f t="shared" si="72"/>
        <v>0</v>
      </c>
    </row>
    <row r="108" spans="1:47" x14ac:dyDescent="0.2">
      <c r="A108" s="35"/>
      <c r="D108" s="72"/>
      <c r="E108" s="186"/>
      <c r="F108" s="27">
        <v>1</v>
      </c>
      <c r="H108" s="54">
        <f t="shared" si="58"/>
        <v>0</v>
      </c>
      <c r="I108" s="54">
        <f t="shared" si="59"/>
        <v>0</v>
      </c>
      <c r="J108" s="24">
        <f t="shared" si="74"/>
        <v>0</v>
      </c>
      <c r="K108" s="24">
        <f t="shared" si="75"/>
        <v>0</v>
      </c>
      <c r="L108" s="24">
        <f t="shared" si="60"/>
        <v>0</v>
      </c>
      <c r="M108" s="55">
        <f t="shared" si="76"/>
        <v>0</v>
      </c>
      <c r="N108" s="113"/>
      <c r="O108" s="46">
        <f t="shared" si="73"/>
        <v>0</v>
      </c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H108" s="47">
        <f t="shared" si="57"/>
        <v>0</v>
      </c>
      <c r="AI108" s="46">
        <f t="shared" si="40"/>
        <v>0</v>
      </c>
      <c r="AJ108" s="46">
        <f t="shared" si="61"/>
        <v>0</v>
      </c>
      <c r="AK108" s="46">
        <f t="shared" si="62"/>
        <v>0</v>
      </c>
      <c r="AL108" s="46">
        <f t="shared" si="63"/>
        <v>0</v>
      </c>
      <c r="AM108" s="46">
        <f t="shared" si="64"/>
        <v>0</v>
      </c>
      <c r="AN108" s="46">
        <f t="shared" si="65"/>
        <v>0</v>
      </c>
      <c r="AO108" s="46">
        <f t="shared" si="66"/>
        <v>0</v>
      </c>
      <c r="AP108" s="46">
        <f t="shared" si="67"/>
        <v>0</v>
      </c>
      <c r="AQ108" s="46">
        <f t="shared" si="68"/>
        <v>0</v>
      </c>
      <c r="AR108" s="46">
        <f t="shared" si="69"/>
        <v>0</v>
      </c>
      <c r="AS108" s="46">
        <f t="shared" si="70"/>
        <v>0</v>
      </c>
      <c r="AT108" s="46">
        <f t="shared" si="71"/>
        <v>0</v>
      </c>
      <c r="AU108" s="46">
        <f t="shared" si="72"/>
        <v>0</v>
      </c>
    </row>
    <row r="109" spans="1:47" x14ac:dyDescent="0.2">
      <c r="A109" s="35"/>
      <c r="D109" s="72"/>
      <c r="E109" s="186"/>
      <c r="F109" s="27">
        <v>1</v>
      </c>
      <c r="H109" s="54">
        <f t="shared" si="58"/>
        <v>0</v>
      </c>
      <c r="I109" s="54">
        <f t="shared" si="59"/>
        <v>0</v>
      </c>
      <c r="J109" s="24">
        <f t="shared" si="74"/>
        <v>0</v>
      </c>
      <c r="K109" s="24">
        <f t="shared" si="75"/>
        <v>0</v>
      </c>
      <c r="L109" s="24">
        <f t="shared" si="60"/>
        <v>0</v>
      </c>
      <c r="M109" s="55">
        <f t="shared" si="76"/>
        <v>0</v>
      </c>
      <c r="N109" s="113"/>
      <c r="O109" s="46">
        <f t="shared" si="73"/>
        <v>0</v>
      </c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H109" s="47">
        <f t="shared" si="57"/>
        <v>0</v>
      </c>
      <c r="AI109" s="46">
        <f t="shared" si="40"/>
        <v>0</v>
      </c>
      <c r="AJ109" s="46">
        <f t="shared" si="61"/>
        <v>0</v>
      </c>
      <c r="AK109" s="46">
        <f t="shared" si="62"/>
        <v>0</v>
      </c>
      <c r="AL109" s="46">
        <f t="shared" si="63"/>
        <v>0</v>
      </c>
      <c r="AM109" s="46">
        <f t="shared" si="64"/>
        <v>0</v>
      </c>
      <c r="AN109" s="46">
        <f t="shared" si="65"/>
        <v>0</v>
      </c>
      <c r="AO109" s="46">
        <f t="shared" si="66"/>
        <v>0</v>
      </c>
      <c r="AP109" s="46">
        <f t="shared" si="67"/>
        <v>0</v>
      </c>
      <c r="AQ109" s="46">
        <f t="shared" si="68"/>
        <v>0</v>
      </c>
      <c r="AR109" s="46">
        <f t="shared" si="69"/>
        <v>0</v>
      </c>
      <c r="AS109" s="46">
        <f t="shared" si="70"/>
        <v>0</v>
      </c>
      <c r="AT109" s="46">
        <f t="shared" si="71"/>
        <v>0</v>
      </c>
      <c r="AU109" s="46">
        <f t="shared" si="72"/>
        <v>0</v>
      </c>
    </row>
    <row r="110" spans="1:47" x14ac:dyDescent="0.2">
      <c r="A110" s="35"/>
      <c r="D110" s="72"/>
      <c r="E110" s="186"/>
      <c r="F110" s="27">
        <v>1</v>
      </c>
      <c r="H110" s="54">
        <f t="shared" si="58"/>
        <v>0</v>
      </c>
      <c r="I110" s="54">
        <f t="shared" si="59"/>
        <v>0</v>
      </c>
      <c r="J110" s="24">
        <f t="shared" si="74"/>
        <v>0</v>
      </c>
      <c r="K110" s="24">
        <f t="shared" si="75"/>
        <v>0</v>
      </c>
      <c r="L110" s="24">
        <f t="shared" si="60"/>
        <v>0</v>
      </c>
      <c r="M110" s="55">
        <f t="shared" si="76"/>
        <v>0</v>
      </c>
      <c r="N110" s="113"/>
      <c r="O110" s="46">
        <f t="shared" si="73"/>
        <v>0</v>
      </c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H110" s="47">
        <f t="shared" si="57"/>
        <v>0</v>
      </c>
      <c r="AI110" s="46">
        <f t="shared" si="40"/>
        <v>0</v>
      </c>
      <c r="AJ110" s="46">
        <f t="shared" si="61"/>
        <v>0</v>
      </c>
      <c r="AK110" s="46">
        <f t="shared" si="62"/>
        <v>0</v>
      </c>
      <c r="AL110" s="46">
        <f t="shared" si="63"/>
        <v>0</v>
      </c>
      <c r="AM110" s="46">
        <f t="shared" si="64"/>
        <v>0</v>
      </c>
      <c r="AN110" s="46">
        <f t="shared" si="65"/>
        <v>0</v>
      </c>
      <c r="AO110" s="46">
        <f t="shared" si="66"/>
        <v>0</v>
      </c>
      <c r="AP110" s="46">
        <f t="shared" si="67"/>
        <v>0</v>
      </c>
      <c r="AQ110" s="46">
        <f t="shared" si="68"/>
        <v>0</v>
      </c>
      <c r="AR110" s="46">
        <f t="shared" si="69"/>
        <v>0</v>
      </c>
      <c r="AS110" s="46">
        <f t="shared" si="70"/>
        <v>0</v>
      </c>
      <c r="AT110" s="46">
        <f t="shared" si="71"/>
        <v>0</v>
      </c>
      <c r="AU110" s="46">
        <f t="shared" si="72"/>
        <v>0</v>
      </c>
    </row>
    <row r="111" spans="1:47" x14ac:dyDescent="0.2">
      <c r="A111" s="35"/>
      <c r="D111" s="72"/>
      <c r="E111" s="186"/>
      <c r="F111" s="27">
        <v>1</v>
      </c>
      <c r="H111" s="54">
        <f t="shared" si="58"/>
        <v>0</v>
      </c>
      <c r="I111" s="54">
        <f t="shared" si="59"/>
        <v>0</v>
      </c>
      <c r="J111" s="24">
        <f t="shared" si="74"/>
        <v>0</v>
      </c>
      <c r="K111" s="24">
        <f t="shared" si="75"/>
        <v>0</v>
      </c>
      <c r="L111" s="24">
        <f t="shared" si="60"/>
        <v>0</v>
      </c>
      <c r="M111" s="55">
        <f t="shared" si="76"/>
        <v>0</v>
      </c>
      <c r="N111" s="113"/>
      <c r="O111" s="46">
        <f t="shared" si="73"/>
        <v>0</v>
      </c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H111" s="47">
        <f t="shared" si="57"/>
        <v>0</v>
      </c>
      <c r="AI111" s="46">
        <f t="shared" si="40"/>
        <v>0</v>
      </c>
      <c r="AJ111" s="46">
        <f t="shared" si="61"/>
        <v>0</v>
      </c>
      <c r="AK111" s="46">
        <f t="shared" si="62"/>
        <v>0</v>
      </c>
      <c r="AL111" s="46">
        <f t="shared" si="63"/>
        <v>0</v>
      </c>
      <c r="AM111" s="46">
        <f t="shared" si="64"/>
        <v>0</v>
      </c>
      <c r="AN111" s="46">
        <f t="shared" si="65"/>
        <v>0</v>
      </c>
      <c r="AO111" s="46">
        <f t="shared" si="66"/>
        <v>0</v>
      </c>
      <c r="AP111" s="46">
        <f t="shared" si="67"/>
        <v>0</v>
      </c>
      <c r="AQ111" s="46">
        <f t="shared" si="68"/>
        <v>0</v>
      </c>
      <c r="AR111" s="46">
        <f t="shared" si="69"/>
        <v>0</v>
      </c>
      <c r="AS111" s="46">
        <f t="shared" si="70"/>
        <v>0</v>
      </c>
      <c r="AT111" s="46">
        <f t="shared" si="71"/>
        <v>0</v>
      </c>
      <c r="AU111" s="46">
        <f t="shared" si="72"/>
        <v>0</v>
      </c>
    </row>
    <row r="112" spans="1:47" x14ac:dyDescent="0.2">
      <c r="A112" s="35"/>
      <c r="D112" s="72"/>
      <c r="E112" s="186"/>
      <c r="F112" s="27">
        <v>1</v>
      </c>
      <c r="H112" s="54">
        <f t="shared" si="58"/>
        <v>0</v>
      </c>
      <c r="I112" s="54">
        <f t="shared" si="59"/>
        <v>0</v>
      </c>
      <c r="J112" s="24">
        <f t="shared" si="74"/>
        <v>0</v>
      </c>
      <c r="K112" s="24">
        <f t="shared" si="75"/>
        <v>0</v>
      </c>
      <c r="L112" s="24">
        <f t="shared" si="60"/>
        <v>0</v>
      </c>
      <c r="M112" s="55">
        <f t="shared" si="76"/>
        <v>0</v>
      </c>
      <c r="N112" s="113"/>
      <c r="O112" s="46">
        <f t="shared" si="73"/>
        <v>0</v>
      </c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H112" s="47">
        <f t="shared" si="57"/>
        <v>0</v>
      </c>
      <c r="AI112" s="46">
        <f t="shared" si="40"/>
        <v>0</v>
      </c>
      <c r="AJ112" s="46">
        <f t="shared" si="61"/>
        <v>0</v>
      </c>
      <c r="AK112" s="46">
        <f t="shared" si="62"/>
        <v>0</v>
      </c>
      <c r="AL112" s="46">
        <f t="shared" si="63"/>
        <v>0</v>
      </c>
      <c r="AM112" s="46">
        <f t="shared" si="64"/>
        <v>0</v>
      </c>
      <c r="AN112" s="46">
        <f t="shared" si="65"/>
        <v>0</v>
      </c>
      <c r="AO112" s="46">
        <f t="shared" si="66"/>
        <v>0</v>
      </c>
      <c r="AP112" s="46">
        <f t="shared" si="67"/>
        <v>0</v>
      </c>
      <c r="AQ112" s="46">
        <f t="shared" si="68"/>
        <v>0</v>
      </c>
      <c r="AR112" s="46">
        <f t="shared" si="69"/>
        <v>0</v>
      </c>
      <c r="AS112" s="46">
        <f t="shared" si="70"/>
        <v>0</v>
      </c>
      <c r="AT112" s="46">
        <f t="shared" si="71"/>
        <v>0</v>
      </c>
      <c r="AU112" s="46">
        <f t="shared" si="72"/>
        <v>0</v>
      </c>
    </row>
    <row r="113" spans="1:47" ht="13.5" thickBot="1" x14ac:dyDescent="0.25">
      <c r="A113" s="35"/>
      <c r="D113" s="72"/>
      <c r="E113" s="186"/>
      <c r="F113" s="27">
        <v>1</v>
      </c>
      <c r="H113" s="54">
        <f t="shared" si="58"/>
        <v>0</v>
      </c>
      <c r="I113" s="54">
        <f t="shared" si="59"/>
        <v>0</v>
      </c>
      <c r="J113" s="24">
        <f t="shared" si="74"/>
        <v>0</v>
      </c>
      <c r="K113" s="24">
        <f t="shared" si="75"/>
        <v>0</v>
      </c>
      <c r="L113" s="24">
        <f t="shared" si="60"/>
        <v>0</v>
      </c>
      <c r="M113" s="55">
        <f t="shared" si="76"/>
        <v>0</v>
      </c>
      <c r="N113" s="113"/>
      <c r="O113" s="46">
        <f t="shared" si="73"/>
        <v>0</v>
      </c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H113" s="47">
        <f t="shared" si="57"/>
        <v>0</v>
      </c>
      <c r="AI113" s="46">
        <f t="shared" si="40"/>
        <v>0</v>
      </c>
      <c r="AJ113" s="46">
        <f t="shared" si="61"/>
        <v>0</v>
      </c>
      <c r="AK113" s="46">
        <f t="shared" si="62"/>
        <v>0</v>
      </c>
      <c r="AL113" s="46">
        <f t="shared" si="63"/>
        <v>0</v>
      </c>
      <c r="AM113" s="46">
        <f t="shared" si="64"/>
        <v>0</v>
      </c>
      <c r="AN113" s="46">
        <f t="shared" si="65"/>
        <v>0</v>
      </c>
      <c r="AO113" s="46">
        <f t="shared" si="66"/>
        <v>0</v>
      </c>
      <c r="AP113" s="46">
        <f t="shared" si="67"/>
        <v>0</v>
      </c>
      <c r="AQ113" s="46">
        <f t="shared" si="68"/>
        <v>0</v>
      </c>
      <c r="AR113" s="46">
        <f t="shared" si="69"/>
        <v>0</v>
      </c>
      <c r="AS113" s="46">
        <f t="shared" si="70"/>
        <v>0</v>
      </c>
      <c r="AT113" s="46">
        <f t="shared" si="71"/>
        <v>0</v>
      </c>
      <c r="AU113" s="46">
        <f t="shared" si="72"/>
        <v>0</v>
      </c>
    </row>
    <row r="114" spans="1:47" ht="13.5" thickBot="1" x14ac:dyDescent="0.25">
      <c r="A114" s="49"/>
      <c r="B114" s="50"/>
      <c r="C114" s="50"/>
      <c r="D114" s="233"/>
      <c r="E114" s="51"/>
      <c r="F114" s="50"/>
      <c r="G114" s="50"/>
      <c r="H114" s="52"/>
      <c r="I114" s="52"/>
      <c r="J114" s="187" t="s">
        <v>57</v>
      </c>
      <c r="K114" s="188">
        <f>SUM(M26:M113)</f>
        <v>0</v>
      </c>
      <c r="L114" s="56"/>
      <c r="M114" s="57"/>
      <c r="N114" s="114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H114" s="47"/>
      <c r="AI114" s="46"/>
      <c r="AJ114" s="46"/>
      <c r="AK114" s="46"/>
      <c r="AL114" s="46"/>
      <c r="AM114" s="46"/>
      <c r="AN114" s="46">
        <f t="shared" si="65"/>
        <v>0</v>
      </c>
      <c r="AO114" s="46">
        <f t="shared" si="66"/>
        <v>0</v>
      </c>
      <c r="AP114" s="46">
        <f t="shared" si="67"/>
        <v>0</v>
      </c>
      <c r="AQ114" s="46">
        <f t="shared" si="68"/>
        <v>0</v>
      </c>
      <c r="AR114" s="46">
        <f t="shared" si="69"/>
        <v>0</v>
      </c>
      <c r="AS114" s="46">
        <f t="shared" si="70"/>
        <v>0</v>
      </c>
      <c r="AT114" s="46">
        <f t="shared" si="71"/>
        <v>0</v>
      </c>
      <c r="AU114" s="46">
        <f t="shared" si="72"/>
        <v>0</v>
      </c>
    </row>
    <row r="115" spans="1:47" ht="16.5" thickBot="1" x14ac:dyDescent="0.25">
      <c r="A115" s="58"/>
      <c r="B115" s="105"/>
      <c r="C115" s="105"/>
      <c r="D115" s="155" t="s">
        <v>66</v>
      </c>
      <c r="E115" s="156"/>
      <c r="F115" s="157"/>
      <c r="G115" s="157"/>
      <c r="H115" s="157"/>
      <c r="I115" s="157"/>
      <c r="J115" s="158"/>
      <c r="K115" s="159"/>
      <c r="L115" s="159"/>
      <c r="M115" s="160">
        <f>SUM(M10:M114)</f>
        <v>0</v>
      </c>
      <c r="N115" s="11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H115" s="47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</row>
    <row r="116" spans="1:47" ht="13.5" thickBot="1" x14ac:dyDescent="0.25">
      <c r="A116" s="49"/>
      <c r="B116" s="50"/>
      <c r="C116" s="50"/>
      <c r="D116" s="51"/>
      <c r="E116" s="51"/>
      <c r="F116" s="50"/>
      <c r="G116" s="50"/>
      <c r="H116" s="50"/>
      <c r="I116" s="50"/>
      <c r="J116" s="53"/>
      <c r="K116" s="53"/>
      <c r="L116" s="53"/>
      <c r="M116" s="59"/>
      <c r="N116" s="115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H116" s="47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</row>
    <row r="117" spans="1:47" x14ac:dyDescent="0.2"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H117" s="47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</row>
    <row r="118" spans="1:47" ht="3" customHeight="1" thickBot="1" x14ac:dyDescent="0.25"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H118" s="47"/>
      <c r="AI118" s="61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</row>
    <row r="119" spans="1:47" s="64" customFormat="1" ht="13.5" thickBot="1" x14ac:dyDescent="0.25">
      <c r="A119" s="27"/>
      <c r="B119" s="27"/>
      <c r="C119" s="27"/>
      <c r="D119" s="23"/>
      <c r="E119" s="23"/>
      <c r="F119" s="27"/>
      <c r="G119" s="27"/>
      <c r="H119" s="27"/>
      <c r="I119" s="27"/>
      <c r="J119" s="60"/>
      <c r="K119" s="288" t="s">
        <v>67</v>
      </c>
      <c r="L119" s="288"/>
      <c r="M119" s="289"/>
      <c r="N119" s="174"/>
      <c r="O119" s="187">
        <f t="shared" ref="O119:AA119" si="77">AI119</f>
        <v>0</v>
      </c>
      <c r="P119" s="187">
        <f t="shared" si="77"/>
        <v>0</v>
      </c>
      <c r="Q119" s="187">
        <f t="shared" si="77"/>
        <v>0</v>
      </c>
      <c r="R119" s="187">
        <f t="shared" si="77"/>
        <v>0</v>
      </c>
      <c r="S119" s="187">
        <f t="shared" si="77"/>
        <v>0</v>
      </c>
      <c r="T119" s="187">
        <f t="shared" si="77"/>
        <v>0</v>
      </c>
      <c r="U119" s="187">
        <f t="shared" si="77"/>
        <v>0</v>
      </c>
      <c r="V119" s="187">
        <f t="shared" si="77"/>
        <v>0</v>
      </c>
      <c r="W119" s="187">
        <f t="shared" si="77"/>
        <v>0</v>
      </c>
      <c r="X119" s="187">
        <f t="shared" si="77"/>
        <v>0</v>
      </c>
      <c r="Y119" s="187">
        <f t="shared" si="77"/>
        <v>0</v>
      </c>
      <c r="Z119" s="187">
        <f t="shared" si="77"/>
        <v>0</v>
      </c>
      <c r="AA119" s="187">
        <f t="shared" si="77"/>
        <v>0</v>
      </c>
      <c r="AB119" s="63"/>
      <c r="AC119" s="63"/>
      <c r="AD119" s="63"/>
      <c r="AE119" s="63"/>
      <c r="AF119" s="63"/>
      <c r="AG119" s="63"/>
      <c r="AH119" s="47" t="s">
        <v>68</v>
      </c>
      <c r="AI119" s="187">
        <f t="shared" ref="AI119:AU119" si="78">SUM(AI10:AI113)</f>
        <v>0</v>
      </c>
      <c r="AJ119" s="187">
        <f t="shared" si="78"/>
        <v>0</v>
      </c>
      <c r="AK119" s="187">
        <f t="shared" si="78"/>
        <v>0</v>
      </c>
      <c r="AL119" s="187">
        <f t="shared" si="78"/>
        <v>0</v>
      </c>
      <c r="AM119" s="187">
        <f t="shared" si="78"/>
        <v>0</v>
      </c>
      <c r="AN119" s="187">
        <f t="shared" si="78"/>
        <v>0</v>
      </c>
      <c r="AO119" s="187">
        <f t="shared" si="78"/>
        <v>0</v>
      </c>
      <c r="AP119" s="187">
        <f t="shared" si="78"/>
        <v>0</v>
      </c>
      <c r="AQ119" s="187">
        <f t="shared" si="78"/>
        <v>0</v>
      </c>
      <c r="AR119" s="187">
        <f t="shared" si="78"/>
        <v>0</v>
      </c>
      <c r="AS119" s="187">
        <f t="shared" si="78"/>
        <v>0</v>
      </c>
      <c r="AT119" s="187">
        <f t="shared" si="78"/>
        <v>0</v>
      </c>
      <c r="AU119" s="187">
        <f t="shared" si="78"/>
        <v>0</v>
      </c>
    </row>
    <row r="120" spans="1:47" ht="3" customHeight="1" thickBot="1" x14ac:dyDescent="0.25">
      <c r="K120" s="289"/>
      <c r="L120" s="289"/>
      <c r="M120" s="289"/>
      <c r="N120" s="174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H120" s="47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</row>
    <row r="121" spans="1:47" s="42" customFormat="1" ht="17.25" thickBot="1" x14ac:dyDescent="0.25">
      <c r="A121" s="66"/>
      <c r="B121" s="67"/>
      <c r="C121" s="67"/>
      <c r="D121" s="67"/>
      <c r="E121" s="67"/>
      <c r="F121" s="66"/>
      <c r="G121" s="41"/>
      <c r="H121" s="41"/>
      <c r="I121" s="41"/>
      <c r="J121" s="41"/>
      <c r="K121" s="290"/>
      <c r="L121" s="290"/>
      <c r="M121" s="290"/>
      <c r="N121" s="175"/>
      <c r="O121" s="41" t="str">
        <f>O8</f>
        <v>Labour</v>
      </c>
      <c r="P121" s="41" t="str">
        <f>P8</f>
        <v>Sub Con</v>
      </c>
      <c r="Q121" s="41" t="str">
        <f>Q8</f>
        <v>Plant</v>
      </c>
      <c r="R121" s="41" t="s">
        <v>33</v>
      </c>
      <c r="S121" s="41" t="str">
        <f t="shared" ref="S121:AA121" si="79">S8</f>
        <v xml:space="preserve">Materials   </v>
      </c>
      <c r="T121" s="41" t="str">
        <f t="shared" si="79"/>
        <v>Materials</v>
      </c>
      <c r="U121" s="41" t="str">
        <f t="shared" si="79"/>
        <v>Materials</v>
      </c>
      <c r="V121" s="41" t="str">
        <f t="shared" si="79"/>
        <v>Materials</v>
      </c>
      <c r="W121" s="41" t="str">
        <f t="shared" si="79"/>
        <v>Materials</v>
      </c>
      <c r="X121" s="41" t="str">
        <f t="shared" si="79"/>
        <v>Materials</v>
      </c>
      <c r="Y121" s="41" t="str">
        <f t="shared" si="79"/>
        <v>Materials</v>
      </c>
      <c r="Z121" s="41" t="str">
        <f t="shared" si="79"/>
        <v>Materials</v>
      </c>
      <c r="AA121" s="41" t="str">
        <f t="shared" si="79"/>
        <v>Materails</v>
      </c>
      <c r="AB121" s="37"/>
      <c r="AC121" s="37"/>
      <c r="AD121" s="37"/>
      <c r="AE121" s="37"/>
      <c r="AF121" s="37"/>
      <c r="AG121" s="37"/>
      <c r="AH121" s="68" t="str">
        <f>AH8</f>
        <v>ITEM</v>
      </c>
      <c r="AI121" s="41" t="str">
        <f>AI8</f>
        <v>Labour</v>
      </c>
      <c r="AJ121" s="41" t="str">
        <f>AJ8</f>
        <v>Sub Con</v>
      </c>
      <c r="AK121" s="41" t="str">
        <f>AK8</f>
        <v>Plant</v>
      </c>
      <c r="AL121" s="41" t="s">
        <v>33</v>
      </c>
      <c r="AM121" s="41" t="str">
        <f t="shared" ref="AM121:AU121" si="80">AM8</f>
        <v xml:space="preserve">Materials   </v>
      </c>
      <c r="AN121" s="41" t="str">
        <f t="shared" si="80"/>
        <v>Materials</v>
      </c>
      <c r="AO121" s="41" t="str">
        <f t="shared" si="80"/>
        <v>Materials</v>
      </c>
      <c r="AP121" s="41" t="str">
        <f t="shared" si="80"/>
        <v>Materials</v>
      </c>
      <c r="AQ121" s="41" t="str">
        <f t="shared" si="80"/>
        <v>Materials</v>
      </c>
      <c r="AR121" s="41" t="str">
        <f t="shared" si="80"/>
        <v>Materials</v>
      </c>
      <c r="AS121" s="41" t="str">
        <f t="shared" si="80"/>
        <v>Materials</v>
      </c>
      <c r="AT121" s="41" t="str">
        <f t="shared" si="80"/>
        <v>Materials</v>
      </c>
      <c r="AU121" s="41" t="str">
        <f t="shared" si="80"/>
        <v>Materails</v>
      </c>
    </row>
    <row r="122" spans="1:47" s="42" customFormat="1" ht="13.5" thickBot="1" x14ac:dyDescent="0.25">
      <c r="A122" s="45"/>
      <c r="B122" s="132"/>
      <c r="C122" s="132"/>
      <c r="D122" s="132"/>
      <c r="E122" s="132"/>
      <c r="F122" s="45"/>
      <c r="G122" s="44"/>
      <c r="H122" s="44"/>
      <c r="I122" s="44"/>
      <c r="J122" s="44"/>
      <c r="K122" s="174"/>
      <c r="L122" s="273" t="s">
        <v>69</v>
      </c>
      <c r="M122" s="274"/>
      <c r="N122" s="17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37"/>
      <c r="AC122" s="37"/>
      <c r="AD122" s="37"/>
      <c r="AE122" s="37"/>
      <c r="AF122" s="37"/>
      <c r="AG122" s="37"/>
      <c r="AH122" s="45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</row>
    <row r="123" spans="1:47" ht="13.5" thickBot="1" x14ac:dyDescent="0.25">
      <c r="L123" s="161" t="s">
        <v>24</v>
      </c>
      <c r="M123" s="162">
        <f>SUM(O119:O119)</f>
        <v>0</v>
      </c>
      <c r="N123" s="110"/>
    </row>
    <row r="124" spans="1:47" ht="13.5" thickBot="1" x14ac:dyDescent="0.25">
      <c r="L124" s="161" t="s">
        <v>70</v>
      </c>
      <c r="M124" s="162">
        <f>P119</f>
        <v>0</v>
      </c>
      <c r="N124" s="110"/>
    </row>
    <row r="125" spans="1:47" ht="13.5" thickBot="1" x14ac:dyDescent="0.25">
      <c r="L125" s="161" t="s">
        <v>71</v>
      </c>
      <c r="M125" s="162">
        <f>SUM(S119:AA119)</f>
        <v>0</v>
      </c>
      <c r="N125" s="110"/>
    </row>
    <row r="126" spans="1:47" ht="13.5" thickBot="1" x14ac:dyDescent="0.25">
      <c r="L126" s="161" t="s">
        <v>7</v>
      </c>
      <c r="M126" s="162">
        <f>SUM(K24/100)*80</f>
        <v>0</v>
      </c>
      <c r="N126" s="110"/>
    </row>
    <row r="127" spans="1:47" ht="13.5" thickBot="1" x14ac:dyDescent="0.25">
      <c r="L127" s="161" t="s">
        <v>72</v>
      </c>
      <c r="M127" s="162">
        <f>AK119</f>
        <v>0</v>
      </c>
      <c r="N127" s="110"/>
    </row>
    <row r="128" spans="1:47" ht="13.5" thickBot="1" x14ac:dyDescent="0.25">
      <c r="L128" s="161" t="s">
        <v>25</v>
      </c>
      <c r="M128" s="162">
        <f>SUM(AL119/100)*70</f>
        <v>0</v>
      </c>
      <c r="N128" s="110"/>
    </row>
    <row r="129" spans="12:14" ht="13.5" thickBot="1" x14ac:dyDescent="0.25">
      <c r="L129" s="161" t="s">
        <v>64</v>
      </c>
      <c r="M129" s="162">
        <f>SUM(M123:M127)</f>
        <v>0</v>
      </c>
      <c r="N129" s="110"/>
    </row>
    <row r="130" spans="12:14" ht="13.5" thickBot="1" x14ac:dyDescent="0.25">
      <c r="L130" s="161" t="s">
        <v>73</v>
      </c>
      <c r="M130" s="162">
        <f>M115</f>
        <v>0</v>
      </c>
      <c r="N130" s="110"/>
    </row>
    <row r="131" spans="12:14" ht="13.5" thickBot="1" x14ac:dyDescent="0.25">
      <c r="L131" s="161" t="s">
        <v>74</v>
      </c>
      <c r="M131" s="163">
        <f>IFERROR((M115-M129)/M115,0)</f>
        <v>0</v>
      </c>
      <c r="N131" s="111"/>
    </row>
    <row r="132" spans="12:14" ht="13.5" thickBot="1" x14ac:dyDescent="0.25"/>
    <row r="133" spans="12:14" ht="13.5" thickBot="1" x14ac:dyDescent="0.25">
      <c r="L133" s="273" t="s">
        <v>75</v>
      </c>
      <c r="M133" s="274"/>
    </row>
    <row r="134" spans="12:14" ht="13.5" thickBot="1" x14ac:dyDescent="0.25">
      <c r="L134" s="161" t="s">
        <v>76</v>
      </c>
      <c r="M134" s="162">
        <f>SUM(M123/20)</f>
        <v>0</v>
      </c>
    </row>
    <row r="135" spans="12:14" ht="13.5" thickBot="1" x14ac:dyDescent="0.25">
      <c r="L135" s="161" t="s">
        <v>24</v>
      </c>
      <c r="M135" s="162">
        <f>(M134*N9)*(1+$M3)</f>
        <v>0</v>
      </c>
    </row>
    <row r="136" spans="12:14" ht="13.5" thickBot="1" x14ac:dyDescent="0.25">
      <c r="L136" s="161" t="s">
        <v>70</v>
      </c>
      <c r="M136" s="162">
        <f>SUM(M124*(1+$M6))</f>
        <v>0</v>
      </c>
    </row>
    <row r="137" spans="12:14" ht="13.5" thickBot="1" x14ac:dyDescent="0.25">
      <c r="L137" s="161" t="s">
        <v>71</v>
      </c>
      <c r="M137" s="162">
        <f>SUM(M125*(1+$M5))</f>
        <v>0</v>
      </c>
    </row>
    <row r="138" spans="12:14" ht="13.5" thickBot="1" x14ac:dyDescent="0.25">
      <c r="L138" s="161" t="s">
        <v>7</v>
      </c>
      <c r="M138" s="162">
        <f>SUM(K24)</f>
        <v>0</v>
      </c>
    </row>
    <row r="139" spans="12:14" ht="13.5" thickBot="1" x14ac:dyDescent="0.25">
      <c r="L139" s="161" t="s">
        <v>72</v>
      </c>
      <c r="M139" s="162">
        <f>SUM(M127*(1+$M2))</f>
        <v>0</v>
      </c>
    </row>
    <row r="140" spans="12:14" ht="13.5" thickBot="1" x14ac:dyDescent="0.25">
      <c r="L140" s="161" t="s">
        <v>25</v>
      </c>
      <c r="M140" s="162">
        <f>SUM((M128*$M8)+M128)/0.7</f>
        <v>0</v>
      </c>
    </row>
    <row r="141" spans="12:14" ht="13.5" thickBot="1" x14ac:dyDescent="0.25">
      <c r="L141" s="161" t="s">
        <v>73</v>
      </c>
      <c r="M141" s="162">
        <f>SUM(M135:M140)</f>
        <v>0</v>
      </c>
    </row>
  </sheetData>
  <mergeCells count="15">
    <mergeCell ref="AM5:AU7"/>
    <mergeCell ref="AK5:AK7"/>
    <mergeCell ref="B3:C3"/>
    <mergeCell ref="B2:C2"/>
    <mergeCell ref="K119:M121"/>
    <mergeCell ref="AI5:AI7"/>
    <mergeCell ref="O5:O7"/>
    <mergeCell ref="P5:Q7"/>
    <mergeCell ref="S5:AA7"/>
    <mergeCell ref="R5:R7"/>
    <mergeCell ref="N1:AA1"/>
    <mergeCell ref="L122:M122"/>
    <mergeCell ref="L133:M133"/>
    <mergeCell ref="AL5:AL7"/>
    <mergeCell ref="AJ5:AJ7"/>
  </mergeCells>
  <phoneticPr fontId="0" type="noConversion"/>
  <dataValidations count="3">
    <dataValidation type="list" allowBlank="1" showInputMessage="1" showErrorMessage="1" sqref="G114" xr:uid="{7FF80C4E-3EF6-4314-9488-D0580C40F824}">
      <formula1>$AW$10:$AW$15</formula1>
    </dataValidation>
    <dataValidation type="list" allowBlank="1" showInputMessage="1" showErrorMessage="1" sqref="G11:G23 G26:G32" xr:uid="{A6B63CDF-6C1C-457E-83BB-4AA541931CAD}">
      <formula1>$AW$10:$AW$17</formula1>
    </dataValidation>
    <dataValidation type="list" allowBlank="1" showInputMessage="1" showErrorMessage="1" sqref="G33:G113" xr:uid="{D4FA3A04-FCCD-42AA-A368-97AEC42F1021}">
      <formula1>$AW$10:$AW$16</formula1>
    </dataValidation>
  </dataValidations>
  <printOptions horizontalCentered="1" verticalCentered="1" gridLines="1"/>
  <pageMargins left="0.23622047244094491" right="0.23622047244094491" top="0.51181102362204722" bottom="0.23622047244094491" header="0.51181102362204722" footer="0.23622047244094491"/>
  <pageSetup paperSize="8" scale="49" orientation="landscape" r:id="rId1"/>
  <headerFooter alignWithMargins="0">
    <oddFooter>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51"/>
  <sheetViews>
    <sheetView view="pageBreakPreview" zoomScale="115" zoomScaleSheetLayoutView="115" workbookViewId="0">
      <pane xSplit="2" ySplit="2" topLeftCell="C10" activePane="bottomRight" state="frozen"/>
      <selection pane="topRight" activeCell="C1" sqref="C1"/>
      <selection pane="bottomLeft" activeCell="A3" sqref="A3"/>
      <selection pane="bottomRight" activeCell="D19" sqref="D19"/>
    </sheetView>
  </sheetViews>
  <sheetFormatPr defaultColWidth="9.140625" defaultRowHeight="12.75" x14ac:dyDescent="0.2"/>
  <cols>
    <col min="1" max="1" width="5.7109375" style="1" customWidth="1"/>
    <col min="2" max="2" width="29.140625" style="13" customWidth="1"/>
    <col min="3" max="4" width="17.140625" style="19" customWidth="1"/>
    <col min="5" max="5" width="43.85546875" style="13" customWidth="1"/>
    <col min="6" max="6" width="1.7109375" style="11" customWidth="1"/>
    <col min="7" max="7" width="9.140625" style="12"/>
    <col min="8" max="8" width="1.7109375" style="11" customWidth="1"/>
    <col min="9" max="9" width="9.140625" style="11"/>
    <col min="10" max="10" width="1.7109375" style="11" customWidth="1"/>
    <col min="11" max="17" width="9.140625" style="11"/>
    <col min="18" max="16384" width="9.140625" style="13"/>
  </cols>
  <sheetData>
    <row r="1" spans="1:17" ht="35.25" customHeight="1" thickBot="1" x14ac:dyDescent="0.3">
      <c r="A1" s="294" t="s">
        <v>77</v>
      </c>
      <c r="B1" s="295"/>
      <c r="C1" s="295"/>
      <c r="D1" s="295"/>
      <c r="E1" s="10" t="s">
        <v>78</v>
      </c>
    </row>
    <row r="2" spans="1:17" s="1" customFormat="1" ht="18" customHeight="1" x14ac:dyDescent="0.2">
      <c r="A2" s="5"/>
      <c r="B2" s="7" t="s">
        <v>79</v>
      </c>
      <c r="C2" s="8" t="s">
        <v>80</v>
      </c>
      <c r="D2" s="8" t="s">
        <v>81</v>
      </c>
      <c r="E2" s="9" t="s">
        <v>82</v>
      </c>
      <c r="F2" s="14"/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 s="1" customFormat="1" ht="18" customHeight="1" x14ac:dyDescent="0.2">
      <c r="A3" s="4">
        <v>1</v>
      </c>
      <c r="B3" s="22" t="s">
        <v>52</v>
      </c>
      <c r="C3" s="120">
        <v>0</v>
      </c>
      <c r="D3" s="120">
        <v>0</v>
      </c>
      <c r="E3" s="205"/>
      <c r="F3" s="14"/>
      <c r="G3" s="15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 ht="15" customHeight="1" x14ac:dyDescent="0.2">
      <c r="A4" s="4">
        <v>2</v>
      </c>
      <c r="B4" s="22" t="s">
        <v>83</v>
      </c>
      <c r="C4" s="120">
        <f t="shared" ref="C4:D21" si="0">IFERROR(,0)</f>
        <v>0</v>
      </c>
      <c r="D4" s="120">
        <f t="shared" si="0"/>
        <v>0</v>
      </c>
      <c r="E4" s="205"/>
      <c r="G4" s="16"/>
      <c r="I4" s="17"/>
      <c r="K4" s="17"/>
      <c r="L4" s="17"/>
    </row>
    <row r="5" spans="1:17" ht="15" customHeight="1" x14ac:dyDescent="0.2">
      <c r="A5" s="4">
        <v>3</v>
      </c>
      <c r="B5" s="22" t="s">
        <v>84</v>
      </c>
      <c r="C5" s="120">
        <f t="shared" si="0"/>
        <v>0</v>
      </c>
      <c r="D5" s="120">
        <f t="shared" si="0"/>
        <v>0</v>
      </c>
      <c r="E5" s="205"/>
      <c r="G5" s="16"/>
      <c r="I5" s="17"/>
      <c r="K5" s="17"/>
      <c r="L5" s="17"/>
    </row>
    <row r="6" spans="1:17" ht="15" customHeight="1" x14ac:dyDescent="0.2">
      <c r="A6" s="4">
        <v>4</v>
      </c>
      <c r="B6" s="22" t="s">
        <v>85</v>
      </c>
      <c r="C6" s="120">
        <f t="shared" si="0"/>
        <v>0</v>
      </c>
      <c r="D6" s="120">
        <f t="shared" si="0"/>
        <v>0</v>
      </c>
      <c r="E6" s="205"/>
      <c r="G6" s="16"/>
      <c r="I6" s="17"/>
      <c r="K6" s="17"/>
      <c r="L6" s="17"/>
    </row>
    <row r="7" spans="1:17" ht="15" customHeight="1" x14ac:dyDescent="0.2">
      <c r="A7" s="4">
        <v>5</v>
      </c>
      <c r="B7" s="22" t="s">
        <v>86</v>
      </c>
      <c r="C7" s="120">
        <f t="shared" si="0"/>
        <v>0</v>
      </c>
      <c r="D7" s="120">
        <f t="shared" si="0"/>
        <v>0</v>
      </c>
      <c r="E7" s="205"/>
      <c r="G7" s="16"/>
      <c r="I7" s="17"/>
      <c r="K7" s="17"/>
      <c r="L7" s="17"/>
    </row>
    <row r="8" spans="1:17" ht="15" customHeight="1" x14ac:dyDescent="0.2">
      <c r="A8" s="4">
        <v>6</v>
      </c>
      <c r="B8" s="22" t="s">
        <v>87</v>
      </c>
      <c r="C8" s="120">
        <f t="shared" si="0"/>
        <v>0</v>
      </c>
      <c r="D8" s="120">
        <f t="shared" si="0"/>
        <v>0</v>
      </c>
      <c r="E8" s="205"/>
      <c r="G8" s="16"/>
      <c r="I8" s="17"/>
      <c r="K8" s="17"/>
      <c r="L8" s="17"/>
    </row>
    <row r="9" spans="1:17" ht="15" customHeight="1" x14ac:dyDescent="0.2">
      <c r="A9" s="4">
        <v>7</v>
      </c>
      <c r="B9" s="206" t="s">
        <v>88</v>
      </c>
      <c r="C9" s="120">
        <f t="shared" si="0"/>
        <v>0</v>
      </c>
      <c r="D9" s="120">
        <f t="shared" si="0"/>
        <v>0</v>
      </c>
      <c r="E9" s="205"/>
      <c r="G9" s="16"/>
      <c r="I9" s="17"/>
      <c r="K9" s="17"/>
      <c r="L9" s="17"/>
    </row>
    <row r="10" spans="1:17" ht="15" customHeight="1" x14ac:dyDescent="0.2">
      <c r="A10" s="4">
        <v>8</v>
      </c>
      <c r="B10" s="22" t="s">
        <v>89</v>
      </c>
      <c r="C10" s="120">
        <f t="shared" si="0"/>
        <v>0</v>
      </c>
      <c r="D10" s="120">
        <f t="shared" si="0"/>
        <v>0</v>
      </c>
      <c r="E10" s="205"/>
      <c r="G10" s="16"/>
      <c r="I10" s="17"/>
      <c r="K10" s="17"/>
      <c r="L10" s="17"/>
    </row>
    <row r="11" spans="1:17" ht="15" customHeight="1" x14ac:dyDescent="0.2">
      <c r="A11" s="4">
        <v>9</v>
      </c>
      <c r="B11" s="22" t="s">
        <v>90</v>
      </c>
      <c r="C11" s="120">
        <f t="shared" si="0"/>
        <v>0</v>
      </c>
      <c r="D11" s="120">
        <f t="shared" si="0"/>
        <v>0</v>
      </c>
      <c r="E11" s="205"/>
      <c r="G11" s="16"/>
      <c r="I11" s="17"/>
      <c r="K11" s="17"/>
      <c r="L11" s="17"/>
    </row>
    <row r="12" spans="1:17" ht="15" customHeight="1" x14ac:dyDescent="0.2">
      <c r="A12" s="4">
        <v>10</v>
      </c>
      <c r="B12" s="22" t="s">
        <v>91</v>
      </c>
      <c r="C12" s="120">
        <f t="shared" si="0"/>
        <v>0</v>
      </c>
      <c r="D12" s="120">
        <f t="shared" si="0"/>
        <v>0</v>
      </c>
      <c r="E12" s="205"/>
      <c r="G12" s="16"/>
      <c r="I12" s="17"/>
      <c r="K12" s="17"/>
      <c r="L12" s="17"/>
    </row>
    <row r="13" spans="1:17" ht="15" customHeight="1" x14ac:dyDescent="0.2">
      <c r="A13" s="4">
        <v>11</v>
      </c>
      <c r="B13" s="22" t="s">
        <v>92</v>
      </c>
      <c r="C13" s="120">
        <f t="shared" si="0"/>
        <v>0</v>
      </c>
      <c r="D13" s="120">
        <f t="shared" si="0"/>
        <v>0</v>
      </c>
      <c r="E13" s="205"/>
      <c r="G13" s="16"/>
      <c r="I13" s="17"/>
      <c r="K13" s="17"/>
      <c r="L13" s="17"/>
    </row>
    <row r="14" spans="1:17" ht="15" customHeight="1" x14ac:dyDescent="0.2">
      <c r="A14" s="4">
        <v>12</v>
      </c>
      <c r="B14" s="22" t="s">
        <v>93</v>
      </c>
      <c r="C14" s="120">
        <f t="shared" si="0"/>
        <v>0</v>
      </c>
      <c r="D14" s="120">
        <f t="shared" si="0"/>
        <v>0</v>
      </c>
      <c r="E14" s="205"/>
      <c r="G14" s="16"/>
      <c r="I14" s="17"/>
      <c r="K14" s="17"/>
      <c r="L14" s="17"/>
    </row>
    <row r="15" spans="1:17" ht="15" customHeight="1" x14ac:dyDescent="0.2">
      <c r="A15" s="4">
        <v>13</v>
      </c>
      <c r="B15" s="22" t="s">
        <v>94</v>
      </c>
      <c r="C15" s="120">
        <f t="shared" si="0"/>
        <v>0</v>
      </c>
      <c r="D15" s="120">
        <f t="shared" si="0"/>
        <v>0</v>
      </c>
      <c r="E15" s="205"/>
      <c r="G15" s="16"/>
      <c r="I15" s="17"/>
      <c r="K15" s="17"/>
      <c r="L15" s="17"/>
    </row>
    <row r="16" spans="1:17" ht="15" customHeight="1" x14ac:dyDescent="0.2">
      <c r="A16" s="4">
        <v>14</v>
      </c>
      <c r="B16" s="22" t="s">
        <v>95</v>
      </c>
      <c r="C16" s="120">
        <f t="shared" si="0"/>
        <v>0</v>
      </c>
      <c r="D16" s="120">
        <f t="shared" si="0"/>
        <v>0</v>
      </c>
      <c r="E16" s="205"/>
      <c r="G16" s="16"/>
      <c r="I16" s="17"/>
      <c r="K16" s="17"/>
      <c r="L16" s="17"/>
    </row>
    <row r="17" spans="1:12" ht="15" customHeight="1" x14ac:dyDescent="0.2">
      <c r="A17" s="4">
        <v>15</v>
      </c>
      <c r="B17" s="22" t="s">
        <v>96</v>
      </c>
      <c r="C17" s="120">
        <f t="shared" si="0"/>
        <v>0</v>
      </c>
      <c r="D17" s="120">
        <f t="shared" si="0"/>
        <v>0</v>
      </c>
      <c r="E17" s="205"/>
      <c r="G17" s="16"/>
      <c r="I17" s="17"/>
      <c r="K17" s="17"/>
      <c r="L17" s="17"/>
    </row>
    <row r="18" spans="1:12" ht="15" customHeight="1" x14ac:dyDescent="0.2">
      <c r="A18" s="4">
        <v>16</v>
      </c>
      <c r="B18" s="22" t="s">
        <v>97</v>
      </c>
      <c r="C18" s="120">
        <f t="shared" si="0"/>
        <v>0</v>
      </c>
      <c r="D18" s="120">
        <f t="shared" si="0"/>
        <v>0</v>
      </c>
      <c r="E18" s="205"/>
      <c r="G18" s="16"/>
      <c r="I18" s="17"/>
      <c r="K18" s="17"/>
      <c r="L18" s="17"/>
    </row>
    <row r="19" spans="1:12" ht="15" customHeight="1" x14ac:dyDescent="0.2">
      <c r="A19" s="4">
        <v>17</v>
      </c>
      <c r="B19" s="22" t="s">
        <v>98</v>
      </c>
      <c r="C19" s="120">
        <f t="shared" si="0"/>
        <v>0</v>
      </c>
      <c r="D19" s="120">
        <f t="shared" si="0"/>
        <v>0</v>
      </c>
      <c r="E19" s="205"/>
      <c r="G19" s="16"/>
      <c r="I19" s="17"/>
      <c r="K19" s="17"/>
      <c r="L19" s="17"/>
    </row>
    <row r="20" spans="1:12" ht="15" customHeight="1" x14ac:dyDescent="0.2">
      <c r="A20" s="4">
        <v>18</v>
      </c>
      <c r="B20" s="22" t="s">
        <v>99</v>
      </c>
      <c r="C20" s="120">
        <f t="shared" si="0"/>
        <v>0</v>
      </c>
      <c r="D20" s="120">
        <f t="shared" si="0"/>
        <v>0</v>
      </c>
      <c r="E20" s="205"/>
      <c r="G20" s="16"/>
      <c r="I20" s="17"/>
      <c r="K20" s="17"/>
      <c r="L20" s="17"/>
    </row>
    <row r="21" spans="1:12" ht="15" customHeight="1" x14ac:dyDescent="0.2">
      <c r="A21" s="4">
        <v>19</v>
      </c>
      <c r="B21" s="189" t="s">
        <v>100</v>
      </c>
      <c r="C21" s="120">
        <f t="shared" si="0"/>
        <v>0</v>
      </c>
      <c r="D21" s="120">
        <f t="shared" si="0"/>
        <v>0</v>
      </c>
      <c r="E21" s="205"/>
      <c r="G21" s="16"/>
      <c r="I21" s="17"/>
      <c r="K21" s="17"/>
      <c r="L21" s="17"/>
    </row>
    <row r="22" spans="1:12" ht="15" customHeight="1" x14ac:dyDescent="0.2">
      <c r="A22" s="4">
        <v>20</v>
      </c>
      <c r="B22" s="22" t="s">
        <v>46</v>
      </c>
      <c r="C22" s="120">
        <v>0</v>
      </c>
      <c r="D22" s="120">
        <v>0</v>
      </c>
      <c r="E22" s="205"/>
      <c r="G22" s="16"/>
      <c r="I22" s="17"/>
      <c r="K22" s="17"/>
      <c r="L22" s="17"/>
    </row>
    <row r="23" spans="1:12" ht="15" customHeight="1" x14ac:dyDescent="0.2">
      <c r="A23" s="4">
        <v>21</v>
      </c>
      <c r="B23" s="22" t="s">
        <v>101</v>
      </c>
      <c r="C23" s="120">
        <f t="shared" ref="C23:C31" si="1">IFERROR(,0)</f>
        <v>0</v>
      </c>
      <c r="D23" s="120">
        <v>0</v>
      </c>
      <c r="E23" s="205"/>
      <c r="G23" s="16"/>
      <c r="I23" s="17"/>
      <c r="K23" s="17"/>
      <c r="L23" s="17"/>
    </row>
    <row r="24" spans="1:12" ht="15" customHeight="1" x14ac:dyDescent="0.2">
      <c r="A24" s="4">
        <v>22</v>
      </c>
      <c r="B24" s="22" t="s">
        <v>102</v>
      </c>
      <c r="C24" s="120">
        <f t="shared" si="1"/>
        <v>0</v>
      </c>
      <c r="D24" s="120">
        <f>IFERROR(,0)</f>
        <v>0</v>
      </c>
      <c r="E24" s="205"/>
      <c r="G24" s="16"/>
      <c r="I24" s="17"/>
      <c r="K24" s="17"/>
      <c r="L24" s="17"/>
    </row>
    <row r="25" spans="1:12" ht="15" customHeight="1" x14ac:dyDescent="0.2">
      <c r="A25" s="4">
        <v>23</v>
      </c>
      <c r="B25" s="22" t="s">
        <v>103</v>
      </c>
      <c r="C25" s="120">
        <f t="shared" si="1"/>
        <v>0</v>
      </c>
      <c r="D25" s="120">
        <f>IFERROR(,0)</f>
        <v>0</v>
      </c>
      <c r="E25" s="207"/>
      <c r="G25" s="16"/>
      <c r="I25" s="17"/>
      <c r="K25" s="17"/>
      <c r="L25" s="17"/>
    </row>
    <row r="26" spans="1:12" ht="15" customHeight="1" x14ac:dyDescent="0.2">
      <c r="A26" s="4">
        <v>24</v>
      </c>
      <c r="B26" s="22" t="s">
        <v>104</v>
      </c>
      <c r="C26" s="120">
        <f t="shared" si="1"/>
        <v>0</v>
      </c>
      <c r="D26" s="120">
        <f>IFERROR(,0)</f>
        <v>0</v>
      </c>
      <c r="E26" s="205"/>
      <c r="G26" s="16"/>
      <c r="I26" s="17"/>
      <c r="K26" s="17"/>
      <c r="L26" s="17"/>
    </row>
    <row r="27" spans="1:12" ht="15" customHeight="1" x14ac:dyDescent="0.2">
      <c r="A27" s="4">
        <v>25</v>
      </c>
      <c r="B27" s="22" t="s">
        <v>17</v>
      </c>
      <c r="C27" s="120">
        <f t="shared" si="1"/>
        <v>0</v>
      </c>
      <c r="D27" s="120">
        <v>0</v>
      </c>
      <c r="E27" s="205"/>
      <c r="G27" s="16"/>
      <c r="I27" s="17"/>
      <c r="K27" s="17"/>
      <c r="L27" s="17"/>
    </row>
    <row r="28" spans="1:12" ht="15" customHeight="1" x14ac:dyDescent="0.2">
      <c r="A28" s="4">
        <v>26</v>
      </c>
      <c r="B28" s="22" t="s">
        <v>105</v>
      </c>
      <c r="C28" s="120">
        <f t="shared" si="1"/>
        <v>0</v>
      </c>
      <c r="D28" s="120">
        <f>IFERROR(,0)</f>
        <v>0</v>
      </c>
      <c r="E28" s="205"/>
      <c r="G28" s="16"/>
      <c r="I28" s="17"/>
      <c r="K28" s="17"/>
      <c r="L28" s="17"/>
    </row>
    <row r="29" spans="1:12" ht="15" customHeight="1" x14ac:dyDescent="0.2">
      <c r="A29" s="4">
        <v>27</v>
      </c>
      <c r="B29" s="22" t="s">
        <v>106</v>
      </c>
      <c r="C29" s="120">
        <f t="shared" si="1"/>
        <v>0</v>
      </c>
      <c r="D29" s="120">
        <f>IFERROR(,0)</f>
        <v>0</v>
      </c>
      <c r="E29" s="205"/>
      <c r="G29" s="16"/>
      <c r="I29" s="17"/>
      <c r="K29" s="17"/>
      <c r="L29" s="17"/>
    </row>
    <row r="30" spans="1:12" ht="15" customHeight="1" x14ac:dyDescent="0.2">
      <c r="A30" s="4">
        <v>28</v>
      </c>
      <c r="B30" s="22" t="s">
        <v>107</v>
      </c>
      <c r="C30" s="120">
        <f t="shared" si="1"/>
        <v>0</v>
      </c>
      <c r="D30" s="120">
        <f>IFERROR(,0)</f>
        <v>0</v>
      </c>
      <c r="E30" s="205"/>
      <c r="G30" s="16"/>
      <c r="I30" s="17"/>
      <c r="K30" s="17"/>
      <c r="L30" s="17"/>
    </row>
    <row r="31" spans="1:12" ht="15" customHeight="1" x14ac:dyDescent="0.2">
      <c r="A31" s="4">
        <v>29</v>
      </c>
      <c r="B31" s="22" t="s">
        <v>108</v>
      </c>
      <c r="C31" s="120">
        <f t="shared" si="1"/>
        <v>0</v>
      </c>
      <c r="D31" s="120">
        <f>IFERROR(,0)</f>
        <v>0</v>
      </c>
      <c r="E31" s="205"/>
      <c r="G31" s="16"/>
      <c r="I31" s="17"/>
      <c r="K31" s="17"/>
      <c r="L31" s="17"/>
    </row>
    <row r="32" spans="1:12" ht="15" customHeight="1" x14ac:dyDescent="0.2">
      <c r="A32" s="4">
        <v>30</v>
      </c>
      <c r="B32" s="22" t="s">
        <v>48</v>
      </c>
      <c r="C32" s="120">
        <v>0</v>
      </c>
      <c r="D32" s="120">
        <v>0</v>
      </c>
      <c r="E32" s="205"/>
      <c r="G32" s="16"/>
      <c r="I32" s="17"/>
      <c r="K32" s="17"/>
      <c r="L32" s="17"/>
    </row>
    <row r="33" spans="1:24" ht="15" customHeight="1" x14ac:dyDescent="0.2">
      <c r="A33" s="4">
        <v>31</v>
      </c>
      <c r="B33" s="22" t="s">
        <v>109</v>
      </c>
      <c r="C33" s="120">
        <f t="shared" ref="C33:D37" si="2">IFERROR(,0)</f>
        <v>0</v>
      </c>
      <c r="D33" s="120">
        <f t="shared" si="2"/>
        <v>0</v>
      </c>
      <c r="E33" s="205"/>
      <c r="G33" s="16"/>
      <c r="I33" s="17"/>
      <c r="K33" s="17"/>
      <c r="L33" s="17"/>
      <c r="R33" s="208"/>
      <c r="S33" s="208"/>
      <c r="T33" s="208"/>
      <c r="U33" s="208"/>
      <c r="V33" s="208"/>
      <c r="W33" s="208"/>
      <c r="X33" s="208"/>
    </row>
    <row r="34" spans="1:24" ht="15" customHeight="1" x14ac:dyDescent="0.2">
      <c r="A34" s="4">
        <v>32</v>
      </c>
      <c r="B34" s="22" t="s">
        <v>110</v>
      </c>
      <c r="C34" s="120">
        <f t="shared" si="2"/>
        <v>0</v>
      </c>
      <c r="D34" s="120">
        <f t="shared" si="2"/>
        <v>0</v>
      </c>
      <c r="E34" s="205"/>
      <c r="G34" s="16"/>
      <c r="I34" s="17"/>
      <c r="K34" s="17"/>
      <c r="L34" s="17"/>
      <c r="R34" s="208"/>
      <c r="S34" s="208"/>
      <c r="T34" s="208"/>
      <c r="U34" s="208"/>
      <c r="V34" s="208"/>
      <c r="W34" s="208"/>
      <c r="X34" s="208"/>
    </row>
    <row r="35" spans="1:24" ht="15" customHeight="1" x14ac:dyDescent="0.2">
      <c r="A35" s="4">
        <v>33</v>
      </c>
      <c r="B35" s="22" t="s">
        <v>111</v>
      </c>
      <c r="C35" s="120">
        <f t="shared" si="2"/>
        <v>0</v>
      </c>
      <c r="D35" s="120">
        <f t="shared" si="2"/>
        <v>0</v>
      </c>
      <c r="E35" s="205"/>
      <c r="G35" s="16"/>
      <c r="I35" s="17"/>
      <c r="K35" s="17"/>
      <c r="L35" s="17"/>
      <c r="R35" s="208"/>
      <c r="S35" s="208"/>
      <c r="T35" s="208"/>
      <c r="U35" s="208"/>
      <c r="V35" s="208"/>
      <c r="W35" s="208"/>
      <c r="X35" s="208"/>
    </row>
    <row r="36" spans="1:24" ht="15" customHeight="1" x14ac:dyDescent="0.2">
      <c r="A36" s="4">
        <v>34</v>
      </c>
      <c r="B36" s="209" t="s">
        <v>112</v>
      </c>
      <c r="C36" s="120">
        <f t="shared" si="2"/>
        <v>0</v>
      </c>
      <c r="D36" s="120">
        <f t="shared" si="2"/>
        <v>0</v>
      </c>
      <c r="E36" s="205"/>
      <c r="G36" s="16"/>
      <c r="I36" s="17"/>
      <c r="K36" s="17"/>
      <c r="L36" s="17"/>
      <c r="R36" s="208"/>
      <c r="S36" s="208"/>
      <c r="T36" s="208"/>
      <c r="U36" s="208"/>
      <c r="V36" s="208"/>
      <c r="W36" s="208"/>
      <c r="X36" s="208"/>
    </row>
    <row r="37" spans="1:24" ht="15" customHeight="1" x14ac:dyDescent="0.2">
      <c r="A37" s="4">
        <v>35</v>
      </c>
      <c r="B37" s="22" t="s">
        <v>113</v>
      </c>
      <c r="C37" s="120">
        <f t="shared" si="2"/>
        <v>0</v>
      </c>
      <c r="D37" s="120">
        <f t="shared" si="2"/>
        <v>0</v>
      </c>
      <c r="E37" s="205"/>
      <c r="G37" s="16"/>
      <c r="I37" s="17"/>
      <c r="K37" s="17"/>
      <c r="L37" s="17"/>
      <c r="R37" s="208"/>
      <c r="S37" s="208"/>
      <c r="T37" s="208"/>
      <c r="U37" s="208"/>
      <c r="V37" s="208"/>
      <c r="W37" s="208"/>
      <c r="X37" s="208"/>
    </row>
    <row r="38" spans="1:24" ht="15" customHeight="1" x14ac:dyDescent="0.2">
      <c r="A38" s="4">
        <v>36</v>
      </c>
      <c r="B38" s="22" t="s">
        <v>114</v>
      </c>
      <c r="C38" s="120">
        <v>0</v>
      </c>
      <c r="D38" s="120">
        <v>0</v>
      </c>
      <c r="E38" s="205"/>
      <c r="G38" s="16"/>
      <c r="I38" s="17"/>
      <c r="K38" s="17"/>
      <c r="L38" s="17"/>
      <c r="R38" s="208"/>
      <c r="S38" s="208"/>
      <c r="T38" s="208"/>
      <c r="U38" s="208"/>
      <c r="V38" s="208"/>
      <c r="W38" s="208"/>
      <c r="X38" s="208"/>
    </row>
    <row r="39" spans="1:24" ht="15" customHeight="1" x14ac:dyDescent="0.2">
      <c r="A39" s="4">
        <v>37</v>
      </c>
      <c r="B39" s="22" t="s">
        <v>115</v>
      </c>
      <c r="C39" s="120">
        <f>IFERROR(,0)</f>
        <v>0</v>
      </c>
      <c r="D39" s="120">
        <f>IFERROR(,0)</f>
        <v>0</v>
      </c>
      <c r="E39" s="205"/>
      <c r="G39" s="16"/>
      <c r="I39" s="17"/>
      <c r="K39" s="17"/>
      <c r="L39" s="17"/>
      <c r="R39" s="208"/>
      <c r="S39" s="208"/>
      <c r="T39" s="208"/>
      <c r="U39" s="208"/>
      <c r="V39" s="208"/>
      <c r="W39" s="208"/>
      <c r="X39" s="208"/>
    </row>
    <row r="40" spans="1:24" ht="15" customHeight="1" x14ac:dyDescent="0.2">
      <c r="A40" s="4">
        <v>38</v>
      </c>
      <c r="B40" s="22" t="s">
        <v>116</v>
      </c>
      <c r="C40" s="120">
        <f>IFERROR(,0)</f>
        <v>0</v>
      </c>
      <c r="D40" s="120">
        <f>IFERROR(,0)</f>
        <v>0</v>
      </c>
      <c r="E40" s="205"/>
      <c r="G40" s="16"/>
      <c r="I40" s="17"/>
      <c r="K40" s="17"/>
      <c r="L40" s="17"/>
      <c r="R40" s="208"/>
      <c r="S40" s="208"/>
      <c r="T40" s="208"/>
      <c r="U40" s="208"/>
      <c r="V40" s="208"/>
      <c r="W40" s="208"/>
      <c r="X40" s="208"/>
    </row>
    <row r="41" spans="1:24" ht="15" customHeight="1" x14ac:dyDescent="0.2">
      <c r="A41" s="4">
        <v>39</v>
      </c>
      <c r="B41" s="22" t="s">
        <v>117</v>
      </c>
      <c r="C41" s="120">
        <v>0</v>
      </c>
      <c r="D41" s="120">
        <f>IFERROR(,0)</f>
        <v>0</v>
      </c>
      <c r="E41" s="205"/>
      <c r="G41" s="16"/>
      <c r="I41" s="17"/>
      <c r="K41" s="17"/>
      <c r="L41" s="17"/>
      <c r="R41" s="208"/>
      <c r="S41" s="208"/>
      <c r="T41" s="208"/>
      <c r="U41" s="208"/>
      <c r="V41" s="208"/>
      <c r="W41" s="208"/>
      <c r="X41" s="208"/>
    </row>
    <row r="42" spans="1:24" ht="15" customHeight="1" x14ac:dyDescent="0.2">
      <c r="A42" s="4">
        <v>40</v>
      </c>
      <c r="B42" s="22" t="s">
        <v>118</v>
      </c>
      <c r="C42" s="120">
        <f>IFERROR(,0)</f>
        <v>0</v>
      </c>
      <c r="D42" s="120">
        <f>IFERROR(,0)</f>
        <v>0</v>
      </c>
      <c r="E42" s="205"/>
      <c r="G42" s="16"/>
      <c r="I42" s="17"/>
      <c r="K42" s="17"/>
      <c r="L42" s="17"/>
      <c r="R42" s="208"/>
      <c r="S42" s="208"/>
      <c r="T42" s="208"/>
      <c r="U42" s="208"/>
      <c r="V42" s="208"/>
      <c r="W42" s="208"/>
      <c r="X42" s="208"/>
    </row>
    <row r="43" spans="1:24" ht="15" customHeight="1" x14ac:dyDescent="0.2">
      <c r="A43" s="4">
        <v>41</v>
      </c>
      <c r="B43" s="22" t="s">
        <v>119</v>
      </c>
      <c r="C43" s="120">
        <f>IFERROR(,0)</f>
        <v>0</v>
      </c>
      <c r="D43" s="120">
        <v>0</v>
      </c>
      <c r="E43" s="205"/>
      <c r="G43" s="16"/>
      <c r="I43" s="17"/>
      <c r="K43" s="17"/>
      <c r="L43" s="17"/>
      <c r="R43" s="208"/>
      <c r="S43" s="208"/>
      <c r="T43" s="208"/>
      <c r="U43" s="208"/>
      <c r="V43" s="208"/>
      <c r="W43" s="208"/>
      <c r="X43" s="208"/>
    </row>
    <row r="44" spans="1:24" ht="15" customHeight="1" x14ac:dyDescent="0.2">
      <c r="A44" s="4">
        <v>42</v>
      </c>
      <c r="B44" s="22" t="s">
        <v>120</v>
      </c>
      <c r="C44" s="120">
        <f>IFERROR(,0)</f>
        <v>0</v>
      </c>
      <c r="D44" s="120">
        <f>IFERROR(,0)</f>
        <v>0</v>
      </c>
      <c r="E44" s="205"/>
      <c r="G44" s="16"/>
      <c r="I44" s="17"/>
      <c r="K44" s="17"/>
      <c r="L44" s="17"/>
      <c r="R44" s="208"/>
      <c r="S44" s="208"/>
      <c r="T44" s="208"/>
      <c r="U44" s="208"/>
      <c r="V44" s="208"/>
      <c r="W44" s="208"/>
      <c r="X44" s="208"/>
    </row>
    <row r="45" spans="1:24" ht="15" customHeight="1" x14ac:dyDescent="0.2">
      <c r="A45" s="4">
        <v>43</v>
      </c>
      <c r="B45" s="190" t="s">
        <v>121</v>
      </c>
      <c r="C45" s="120">
        <v>0</v>
      </c>
      <c r="D45" s="120">
        <v>0</v>
      </c>
      <c r="E45" s="210"/>
      <c r="G45" s="18"/>
      <c r="I45" s="20"/>
      <c r="K45" s="17"/>
      <c r="L45" s="17"/>
      <c r="R45" s="208"/>
      <c r="S45" s="208"/>
      <c r="T45" s="208"/>
      <c r="U45" s="208"/>
      <c r="V45" s="208"/>
      <c r="W45" s="208"/>
      <c r="X45" s="208"/>
    </row>
    <row r="46" spans="1:24" ht="18" customHeight="1" thickBot="1" x14ac:dyDescent="0.25">
      <c r="A46" s="191">
        <v>1</v>
      </c>
      <c r="B46" s="192" t="s">
        <v>122</v>
      </c>
      <c r="C46" s="193">
        <f>ROUND(SUM(C3:C45),2)</f>
        <v>0</v>
      </c>
      <c r="D46" s="194">
        <f>SUM(D3:D45)</f>
        <v>0</v>
      </c>
      <c r="E46" s="211"/>
      <c r="I46" s="21"/>
      <c r="R46" s="208"/>
      <c r="S46" s="208"/>
      <c r="T46" s="208"/>
      <c r="U46" s="208"/>
      <c r="V46" s="208"/>
      <c r="W46" s="208"/>
      <c r="X46" s="11"/>
    </row>
    <row r="47" spans="1:24" ht="18" customHeight="1" thickTop="1" x14ac:dyDescent="0.2">
      <c r="A47" s="4"/>
      <c r="B47" s="2" t="s">
        <v>123</v>
      </c>
      <c r="C47" s="212">
        <f>A46*C46</f>
        <v>0</v>
      </c>
      <c r="D47" s="213"/>
      <c r="E47" s="214"/>
      <c r="R47" s="208"/>
      <c r="S47" s="208"/>
      <c r="T47" s="208"/>
      <c r="U47" s="208"/>
      <c r="V47" s="208"/>
      <c r="W47" s="208"/>
      <c r="X47" s="11"/>
    </row>
    <row r="48" spans="1:24" x14ac:dyDescent="0.2">
      <c r="A48" s="4"/>
      <c r="B48" s="2" t="s">
        <v>124</v>
      </c>
      <c r="C48" s="215">
        <f>D46</f>
        <v>0</v>
      </c>
      <c r="D48" s="213"/>
      <c r="E48" s="214"/>
      <c r="R48" s="208"/>
      <c r="S48" s="208"/>
      <c r="T48" s="208"/>
      <c r="U48" s="208"/>
      <c r="V48" s="208"/>
      <c r="W48" s="208"/>
      <c r="X48" s="11"/>
    </row>
    <row r="49" spans="1:24" ht="13.5" thickBot="1" x14ac:dyDescent="0.25">
      <c r="A49" s="5"/>
      <c r="B49" s="3" t="s">
        <v>125</v>
      </c>
      <c r="C49" s="216">
        <f>SUM(C47:C48)</f>
        <v>0</v>
      </c>
      <c r="D49" s="213"/>
      <c r="E49" s="214"/>
      <c r="R49" s="208"/>
      <c r="S49" s="208"/>
      <c r="T49" s="208"/>
      <c r="U49" s="208"/>
      <c r="V49" s="208"/>
      <c r="W49" s="208"/>
      <c r="X49" s="11"/>
    </row>
    <row r="50" spans="1:24" ht="13.5" thickTop="1" x14ac:dyDescent="0.2">
      <c r="A50" s="4"/>
      <c r="B50" s="70"/>
      <c r="C50" s="217"/>
      <c r="D50" s="217"/>
      <c r="E50" s="214"/>
      <c r="R50" s="208"/>
      <c r="S50" s="208"/>
      <c r="T50" s="208"/>
      <c r="U50" s="208"/>
      <c r="V50" s="208"/>
      <c r="W50" s="208"/>
      <c r="X50" s="11"/>
    </row>
    <row r="51" spans="1:24" ht="13.5" thickBot="1" x14ac:dyDescent="0.25">
      <c r="A51" s="6"/>
      <c r="B51" s="218"/>
      <c r="C51" s="219"/>
      <c r="D51" s="219"/>
      <c r="E51" s="220"/>
      <c r="R51" s="208"/>
      <c r="S51" s="208"/>
      <c r="T51" s="208"/>
      <c r="U51" s="208"/>
      <c r="V51" s="208"/>
      <c r="W51" s="208"/>
      <c r="X51" s="11"/>
    </row>
  </sheetData>
  <autoFilter ref="A2:E49" xr:uid="{00000000-0001-0000-0100-000000000000}">
    <sortState xmlns:xlrd2="http://schemas.microsoft.com/office/spreadsheetml/2017/richdata2" ref="A3:E49">
      <sortCondition ref="B2:B49"/>
    </sortState>
  </autoFilter>
  <mergeCells count="1">
    <mergeCell ref="A1:D1"/>
  </mergeCells>
  <phoneticPr fontId="0" type="noConversion"/>
  <printOptions gridLines="1"/>
  <pageMargins left="0.35433070866141736" right="0.15748031496062992" top="0.19685039370078741" bottom="0.19685039370078741" header="0.11811023622047245" footer="0.11811023622047245"/>
  <pageSetup paperSize="9" scale="84" orientation="portrait" r:id="rId1"/>
  <headerFooter alignWithMargins="0">
    <oddFooter>Page &amp;P of &amp;N</oddFooter>
  </headerFooter>
  <colBreaks count="1" manualBreakCount="1">
    <brk id="5" max="62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QuoteOwner xmlns="f2d0d93e-2a40-4276-a09b-e9c18229804f" xsi:nil="true"/>
    <Ownerfiltertest xmlns="f2d0d93e-2a40-4276-a09b-e9c18229804f" xsi:nil="true"/>
    <Site xmlns="f2d0d93e-2a40-4276-a09b-e9c18229804f" xsi:nil="true"/>
    <lcf76f155ced4ddcb4097134ff3c332f xmlns="f2d0d93e-2a40-4276-a09b-e9c18229804f">
      <Terms xmlns="http://schemas.microsoft.com/office/infopath/2007/PartnerControls"/>
    </lcf76f155ced4ddcb4097134ff3c332f>
    <Folderpath xmlns="f2d0d93e-2a40-4276-a09b-e9c18229804f" xsi:nil="true"/>
    <JobTags xmlns="f2d0d93e-2a40-4276-a09b-e9c18229804f" xsi:nil="true"/>
    <QuoteTitle xmlns="f2d0d93e-2a40-4276-a09b-e9c18229804f" xsi:nil="true"/>
    <ChanceofSale xmlns="f2d0d93e-2a40-4276-a09b-e9c18229804f" xsi:nil="true"/>
    <QuoteLink xmlns="f2d0d93e-2a40-4276-a09b-e9c18229804f">
      <Url xsi:nil="true"/>
      <Description xsi:nil="true"/>
    </QuoteLink>
    <ParentJob xmlns="f2d0d93e-2a40-4276-a09b-e9c18229804f">
      <Url xsi:nil="true"/>
      <Description xsi:nil="true"/>
    </ParentJob>
    <RetentionStatus xmlns="f2d0d93e-2a40-4276-a09b-e9c18229804f" xsi:nil="true"/>
    <ExpiryDate xmlns="f2d0d93e-2a40-4276-a09b-e9c18229804f" xsi:nil="true"/>
    <JobStatus xmlns="f2d0d93e-2a40-4276-a09b-e9c18229804f" xsi:nil="true"/>
    <JobLink xmlns="f2d0d93e-2a40-4276-a09b-e9c18229804f">
      <Url xsi:nil="true"/>
      <Description xsi:nil="true"/>
    </JobLink>
    <DueDate xmlns="f2d0d93e-2a40-4276-a09b-e9c18229804f" xsi:nil="true"/>
    <UpgradedJobNumber xmlns="f2d0d93e-2a40-4276-a09b-e9c18229804f" xsi:nil="true"/>
    <QuoteNumber xmlns="f2d0d93e-2a40-4276-a09b-e9c18229804f" xsi:nil="true"/>
    <QuoteReference xmlns="f2d0d93e-2a40-4276-a09b-e9c18229804f" xsi:nil="true"/>
    <QuoteTags xmlns="f2d0d93e-2a40-4276-a09b-e9c18229804f" xsi:nil="true"/>
    <FolderPathTest xmlns="f2d0d93e-2a40-4276-a09b-e9c18229804f" xsi:nil="true"/>
    <QuoteValue xmlns="f2d0d93e-2a40-4276-a09b-e9c18229804f" xsi:nil="true"/>
    <Test xmlns="f2d0d93e-2a40-4276-a09b-e9c18229804f">
      <Url xsi:nil="true"/>
      <Description xsi:nil="true"/>
    </Test>
    <StatusFilterTest xmlns="f2d0d93e-2a40-4276-a09b-e9c18229804f" xsi:nil="true"/>
    <Customer xmlns="f2d0d93e-2a40-4276-a09b-e9c18229804f" xsi:nil="true"/>
    <JobOwner xmlns="f2d0d93e-2a40-4276-a09b-e9c18229804f" xsi:nil="true"/>
    <OriginalJob xmlns="f2d0d93e-2a40-4276-a09b-e9c18229804f" xsi:nil="true"/>
    <QuoteStatus xmlns="f2d0d93e-2a40-4276-a09b-e9c18229804f" xsi:nil="true"/>
    <QuoteDescription xmlns="f2d0d93e-2a40-4276-a09b-e9c18229804f" xsi:nil="true"/>
    <TaxCatchAll xmlns="efea603a-9e33-4246-bfcc-c84cd7adce61" xsi:nil="true"/>
    <DateLogged xmlns="f2d0d93e-2a40-4276-a09b-e9c18229804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13C4ECF55D5A4681694827E8E3C5CB" ma:contentTypeVersion="48" ma:contentTypeDescription="Create a new document." ma:contentTypeScope="" ma:versionID="cb1b542f4ef1c929143dbcabaf7f54c0">
  <xsd:schema xmlns:xsd="http://www.w3.org/2001/XMLSchema" xmlns:xs="http://www.w3.org/2001/XMLSchema" xmlns:p="http://schemas.microsoft.com/office/2006/metadata/properties" xmlns:ns2="f2d0d93e-2a40-4276-a09b-e9c18229804f" xmlns:ns3="efea603a-9e33-4246-bfcc-c84cd7adce61" targetNamespace="http://schemas.microsoft.com/office/2006/metadata/properties" ma:root="true" ma:fieldsID="407eea08a17bc63450cc688de77a5255" ns2:_="" ns3:_="">
    <xsd:import namespace="f2d0d93e-2a40-4276-a09b-e9c18229804f"/>
    <xsd:import namespace="efea603a-9e33-4246-bfcc-c84cd7adce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QuoteNumber" minOccurs="0"/>
                <xsd:element ref="ns2:ChanceofSale" minOccurs="0"/>
                <xsd:element ref="ns2:Customer" minOccurs="0"/>
                <xsd:element ref="ns2:DateLogged" minOccurs="0"/>
                <xsd:element ref="ns2:DueDate" minOccurs="0"/>
                <xsd:element ref="ns2:ExpiryDate" minOccurs="0"/>
                <xsd:element ref="ns2:JobOwner" minOccurs="0"/>
                <xsd:element ref="ns2:JobStatus" minOccurs="0"/>
                <xsd:element ref="ns2:JobTags" minOccurs="0"/>
                <xsd:element ref="ns2:OriginalJob" minOccurs="0"/>
                <xsd:element ref="ns2:QuoteOwner" minOccurs="0"/>
                <xsd:element ref="ns2:ParentJob" minOccurs="0"/>
                <xsd:element ref="ns2:QuoteDescription" minOccurs="0"/>
                <xsd:element ref="ns2:QuoteReference" minOccurs="0"/>
                <xsd:element ref="ns2:QuoteTags" minOccurs="0"/>
                <xsd:element ref="ns2:QuoteTitle" minOccurs="0"/>
                <xsd:element ref="ns2:Site" minOccurs="0"/>
                <xsd:element ref="ns2:QuoteStatus" minOccurs="0"/>
                <xsd:element ref="ns2:JobLink" minOccurs="0"/>
                <xsd:element ref="ns2:UpgradedJobNumber" minOccurs="0"/>
                <xsd:element ref="ns2:QuoteLink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QuoteValu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RetentionStatus" minOccurs="0"/>
                <xsd:element ref="ns2:Test" minOccurs="0"/>
                <xsd:element ref="ns2:Folderpath" minOccurs="0"/>
                <xsd:element ref="ns2:StatusFilterTest" minOccurs="0"/>
                <xsd:element ref="ns2:Ownerfiltertest" minOccurs="0"/>
                <xsd:element ref="ns2:FolderPathTest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0d93e-2a40-4276-a09b-e9c1822980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QuoteNumber" ma:index="12" nillable="true" ma:displayName="Quote Number" ma:format="Dropdown" ma:indexed="true" ma:internalName="QuoteNumber">
      <xsd:simpleType>
        <xsd:restriction base="dms:Text">
          <xsd:maxLength value="255"/>
        </xsd:restriction>
      </xsd:simpleType>
    </xsd:element>
    <xsd:element name="ChanceofSale" ma:index="13" nillable="true" ma:displayName="Chance of Sale" ma:decimals="0" ma:format="Dropdown" ma:internalName="ChanceofSale" ma:percentage="TRUE">
      <xsd:simpleType>
        <xsd:restriction base="dms:Number"/>
      </xsd:simpleType>
    </xsd:element>
    <xsd:element name="Customer" ma:index="14" nillable="true" ma:displayName="Customer" ma:format="Dropdown" ma:indexed="true" ma:internalName="Customer">
      <xsd:simpleType>
        <xsd:restriction base="dms:Text">
          <xsd:maxLength value="255"/>
        </xsd:restriction>
      </xsd:simpleType>
    </xsd:element>
    <xsd:element name="DateLogged" ma:index="15" nillable="true" ma:displayName="Date Logged" ma:format="DateOnly" ma:indexed="true" ma:internalName="DateLogged">
      <xsd:simpleType>
        <xsd:restriction base="dms:DateTime"/>
      </xsd:simpleType>
    </xsd:element>
    <xsd:element name="DueDate" ma:index="16" nillable="true" ma:displayName="Due Date" ma:format="DateOnly" ma:internalName="DueDate">
      <xsd:simpleType>
        <xsd:restriction base="dms:DateTime"/>
      </xsd:simpleType>
    </xsd:element>
    <xsd:element name="ExpiryDate" ma:index="17" nillable="true" ma:displayName="Expiry Date" ma:format="DateOnly" ma:internalName="ExpiryDate">
      <xsd:simpleType>
        <xsd:restriction base="dms:DateTime"/>
      </xsd:simpleType>
    </xsd:element>
    <xsd:element name="JobOwner" ma:index="18" nillable="true" ma:displayName="Job Owner" ma:format="Dropdown" ma:indexed="true" ma:internalName="JobOwner">
      <xsd:simpleType>
        <xsd:restriction base="dms:Text">
          <xsd:maxLength value="255"/>
        </xsd:restriction>
      </xsd:simpleType>
    </xsd:element>
    <xsd:element name="JobStatus" ma:index="19" nillable="true" ma:displayName="Job Status" ma:format="Dropdown" ma:indexed="true" ma:internalName="JobStatus">
      <xsd:simpleType>
        <xsd:restriction base="dms:Text">
          <xsd:maxLength value="255"/>
        </xsd:restriction>
      </xsd:simpleType>
    </xsd:element>
    <xsd:element name="JobTags" ma:index="20" nillable="true" ma:displayName="Job Tags" ma:internalName="JobTags">
      <xsd:simpleType>
        <xsd:restriction base="dms:Text">
          <xsd:maxLength value="255"/>
        </xsd:restriction>
      </xsd:simpleType>
    </xsd:element>
    <xsd:element name="OriginalJob" ma:index="21" nillable="true" ma:displayName="Original Job" ma:format="Dropdown" ma:internalName="OriginalJob">
      <xsd:simpleType>
        <xsd:restriction base="dms:Text">
          <xsd:maxLength value="255"/>
        </xsd:restriction>
      </xsd:simpleType>
    </xsd:element>
    <xsd:element name="QuoteOwner" ma:index="22" nillable="true" ma:displayName="Quote Owner" ma:format="Dropdown" ma:indexed="true" ma:internalName="QuoteOwner">
      <xsd:simpleType>
        <xsd:restriction base="dms:Text">
          <xsd:maxLength value="255"/>
        </xsd:restriction>
      </xsd:simpleType>
    </xsd:element>
    <xsd:element name="ParentJob" ma:index="23" nillable="true" ma:displayName="Parent Job" ma:format="Hyperlink" ma:internalName="ParentJo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QuoteDescription" ma:index="24" nillable="true" ma:displayName="Quote Description" ma:format="Dropdown" ma:internalName="QuoteDescription">
      <xsd:simpleType>
        <xsd:restriction base="dms:Note">
          <xsd:maxLength value="255"/>
        </xsd:restriction>
      </xsd:simpleType>
    </xsd:element>
    <xsd:element name="QuoteReference" ma:index="25" nillable="true" ma:displayName="Quote Reference" ma:format="Dropdown" ma:internalName="QuoteReference">
      <xsd:simpleType>
        <xsd:restriction base="dms:Text">
          <xsd:maxLength value="255"/>
        </xsd:restriction>
      </xsd:simpleType>
    </xsd:element>
    <xsd:element name="QuoteTags" ma:index="26" nillable="true" ma:displayName="Quote Tags" ma:internalName="QuoteTags">
      <xsd:simpleType>
        <xsd:restriction base="dms:Text">
          <xsd:maxLength value="255"/>
        </xsd:restriction>
      </xsd:simpleType>
    </xsd:element>
    <xsd:element name="QuoteTitle" ma:index="27" nillable="true" ma:displayName="Quote Title" ma:format="Dropdown" ma:internalName="QuoteTitle">
      <xsd:simpleType>
        <xsd:restriction base="dms:Note">
          <xsd:maxLength value="255"/>
        </xsd:restriction>
      </xsd:simpleType>
    </xsd:element>
    <xsd:element name="Site" ma:index="28" nillable="true" ma:displayName="Site" ma:format="Dropdown" ma:indexed="true" ma:internalName="Site">
      <xsd:simpleType>
        <xsd:restriction base="dms:Text">
          <xsd:maxLength value="255"/>
        </xsd:restriction>
      </xsd:simpleType>
    </xsd:element>
    <xsd:element name="QuoteStatus" ma:index="29" nillable="true" ma:displayName="Quote Status" ma:format="Dropdown" ma:indexed="true" ma:internalName="QuoteStatus">
      <xsd:simpleType>
        <xsd:restriction base="dms:Text">
          <xsd:maxLength value="255"/>
        </xsd:restriction>
      </xsd:simpleType>
    </xsd:element>
    <xsd:element name="JobLink" ma:index="30" nillable="true" ma:displayName="Job Link" ma:format="Hyperlink" ma:internalName="Job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UpgradedJobNumber" ma:index="31" nillable="true" ma:displayName="Upgraded Job Number" ma:format="Dropdown" ma:indexed="true" ma:internalName="UpgradedJobNumber">
      <xsd:simpleType>
        <xsd:restriction base="dms:Text">
          <xsd:maxLength value="255"/>
        </xsd:restriction>
      </xsd:simpleType>
    </xsd:element>
    <xsd:element name="QuoteLink" ma:index="32" nillable="true" ma:displayName="Quote Link" ma:format="Hyperlink" ma:internalName="Quote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AutoTags" ma:index="33" nillable="true" ma:displayName="Tags" ma:internalName="MediaServiceAutoTags" ma:readOnly="true">
      <xsd:simpleType>
        <xsd:restriction base="dms:Text"/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QuoteValue" ma:index="39" nillable="true" ma:displayName="Quote Value" ma:format="£123,456.00 (United Kingdom)" ma:LCID="2057" ma:internalName="QuoteValue">
      <xsd:simpleType>
        <xsd:restriction base="dms:Currency"/>
      </xsd:simpleType>
    </xsd:element>
    <xsd:element name="MediaServiceAutoKeyPoints" ma:index="4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4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3" nillable="true" ma:displayName="Location" ma:internalName="MediaServiceLocation" ma:readOnly="true">
      <xsd:simpleType>
        <xsd:restriction base="dms:Text"/>
      </xsd:simpleType>
    </xsd:element>
    <xsd:element name="lcf76f155ced4ddcb4097134ff3c332f" ma:index="45" nillable="true" ma:taxonomy="true" ma:internalName="lcf76f155ced4ddcb4097134ff3c332f" ma:taxonomyFieldName="MediaServiceImageTags" ma:displayName="Image Tags" ma:readOnly="false" ma:fieldId="{5cf76f15-5ced-4ddc-b409-7134ff3c332f}" ma:taxonomyMulti="true" ma:sspId="8da1c7ad-6e84-4da7-8c64-47091cbf45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47" nillable="true" ma:displayName="MediaLengthInSeconds" ma:hidden="true" ma:internalName="MediaLengthInSeconds" ma:readOnly="true">
      <xsd:simpleType>
        <xsd:restriction base="dms:Unknown"/>
      </xsd:simpleType>
    </xsd:element>
    <xsd:element name="RetentionStatus" ma:index="48" nillable="true" ma:displayName="Retention Status" ma:description="Indicates the status of any retention" ma:format="Dropdown" ma:internalName="RetentionStatus">
      <xsd:simpleType>
        <xsd:union memberTypes="dms:Text">
          <xsd:simpleType>
            <xsd:restriction base="dms:Choice">
              <xsd:enumeration value="Retention Due"/>
              <xsd:enumeration value="Retention Received"/>
            </xsd:restriction>
          </xsd:simpleType>
        </xsd:union>
      </xsd:simpleType>
    </xsd:element>
    <xsd:element name="Test" ma:index="49" nillable="true" ma:displayName="Test" ma:format="Hyperlink" ma:internalName="Tes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Folderpath" ma:index="50" nillable="true" ma:displayName="Folder path" ma:format="Dropdown" ma:indexed="true" ma:internalName="Folderpath">
      <xsd:simpleType>
        <xsd:restriction base="dms:Text">
          <xsd:maxLength value="255"/>
        </xsd:restriction>
      </xsd:simpleType>
    </xsd:element>
    <xsd:element name="StatusFilterTest" ma:index="51" nillable="true" ma:displayName="Status Filter Test " ma:format="Dropdown" ma:indexed="true" ma:internalName="StatusFilterTest">
      <xsd:simpleType>
        <xsd:restriction base="dms:Text">
          <xsd:maxLength value="255"/>
        </xsd:restriction>
      </xsd:simpleType>
    </xsd:element>
    <xsd:element name="Ownerfiltertest" ma:index="52" nillable="true" ma:displayName="Owner filter test " ma:format="Dropdown" ma:indexed="true" ma:internalName="Ownerfiltertest">
      <xsd:simpleType>
        <xsd:restriction base="dms:Text">
          <xsd:maxLength value="255"/>
        </xsd:restriction>
      </xsd:simpleType>
    </xsd:element>
    <xsd:element name="FolderPathTest" ma:index="53" nillable="true" ma:displayName="FolderPathTest" ma:format="Dropdown" ma:indexed="true" ma:internalName="FolderPathTest">
      <xsd:simpleType>
        <xsd:restriction base="dms:Text">
          <xsd:maxLength value="255"/>
        </xsd:restriction>
      </xsd:simpleType>
    </xsd:element>
    <xsd:element name="MediaServiceObjectDetectorVersions" ma:index="5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a603a-9e33-4246-bfcc-c84cd7adce6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46" nillable="true" ma:displayName="Taxonomy Catch All Column" ma:hidden="true" ma:list="{de1b7c1d-e9c5-4e43-9634-364efdf873a5}" ma:internalName="TaxCatchAll" ma:showField="CatchAllData" ma:web="efea603a-9e33-4246-bfcc-c84cd7adce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48367C-4361-4499-8986-5166478D3E7F}">
  <ds:schemaRefs>
    <ds:schemaRef ds:uri="http://purl.org/dc/dcmitype/"/>
    <ds:schemaRef ds:uri="http://purl.org/dc/terms/"/>
    <ds:schemaRef ds:uri="http://purl.org/dc/elements/1.1/"/>
    <ds:schemaRef ds:uri="f2d0d93e-2a40-4276-a09b-e9c18229804f"/>
    <ds:schemaRef ds:uri="http://schemas.openxmlformats.org/package/2006/metadata/core-properties"/>
    <ds:schemaRef ds:uri="efea603a-9e33-4246-bfcc-c84cd7adce61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E29FC9ED-BA22-43CF-A8E6-F07B22A1EB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0d93e-2a40-4276-a09b-e9c18229804f"/>
    <ds:schemaRef ds:uri="efea603a-9e33-4246-bfcc-c84cd7adce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758A77-7B5F-4FE9-8611-0A190D965C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Quote Letter </vt:lpstr>
      <vt:lpstr>BUILDING WORKS</vt:lpstr>
      <vt:lpstr>Preliminaries</vt:lpstr>
      <vt:lpstr>'BUILDING WORKS'!Print_Area</vt:lpstr>
      <vt:lpstr>Preliminaries!Print_Area</vt:lpstr>
      <vt:lpstr>'Quote Letter '!Print_Area</vt:lpstr>
      <vt:lpstr>'BUILDING WORKS'!Print_Titles</vt:lpstr>
      <vt:lpstr>Preliminaries!Print_Titles</vt:lpstr>
      <vt:lpstr>'Quote Letter 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Invoice</dc:title>
  <dc:subject/>
  <dc:creator>David Fortescue</dc:creator>
  <cp:keywords/>
  <dc:description/>
  <cp:lastModifiedBy>David Fortescue</cp:lastModifiedBy>
  <cp:revision/>
  <cp:lastPrinted>2024-06-25T18:02:30Z</cp:lastPrinted>
  <dcterms:created xsi:type="dcterms:W3CDTF">2001-11-21T13:49:02Z</dcterms:created>
  <dcterms:modified xsi:type="dcterms:W3CDTF">2025-04-11T17:24:40Z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0x0101005313C4ECF55D5A4681694827E8E3C5CB</vt:lpwstr>
  </property>
  <property fmtid="{D5CDD505-2E9C-101B-9397-08002B2CF9AE}" pid="3" name="MediaServiceImageTags">
    <vt:lpwstr/>
  </property>
</Properties>
</file>